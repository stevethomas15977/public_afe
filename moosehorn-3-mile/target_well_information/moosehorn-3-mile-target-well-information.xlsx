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home\ubuntu\afe\projects\moosehorn-3-mile\target_well_information\"/>
    </mc:Choice>
  </mc:AlternateContent>
  <xr:revisionPtr revIDLastSave="0" documentId="13_ncr:1_{3983762E-08E4-4DE2-9157-B5766B6695BC}" xr6:coauthVersionLast="47" xr6:coauthVersionMax="47" xr10:uidLastSave="{00000000-0000-0000-0000-000000000000}"/>
  <bookViews>
    <workbookView xWindow="960" yWindow="2660" windowWidth="24000" windowHeight="13650" xr2:uid="{00000000-000D-0000-FFFF-FFFF00000000}"/>
  </bookViews>
  <sheets>
    <sheet name="Well Summary (2)" sheetId="3" r:id="rId1"/>
    <sheet name="Well Summary (3)" sheetId="4" r:id="rId2"/>
    <sheet name="Well Summary" sheetId="1" r:id="rId3"/>
    <sheet name="env_csv-Wells-3a723_2024-06-27" sheetId="2" r:id="rId4"/>
  </sheets>
  <definedNames>
    <definedName name="_xlnm._FilterDatabase" localSheetId="3">'env_csv-Wells-3a723_2024-06-27'!$A$2:$AR$10</definedName>
    <definedName name="_xlnm._FilterDatabase" localSheetId="2">'Well Summary'!$A$20:$O$28</definedName>
    <definedName name="_xlnm._FilterDatabase" localSheetId="0">'Well Summary (2)'!$A$18:$O$26</definedName>
    <definedName name="_xlnm._FilterDatabase" localSheetId="1">'Well Summary (3)'!$A$18:$O$26</definedName>
    <definedName name="_xlnm.Print_Area" localSheetId="2">'Well Summary'!$A$2:$N$29</definedName>
    <definedName name="_xlnm.Print_Area" localSheetId="0">'Well Summary (2)'!$A$2:$N$27</definedName>
    <definedName name="_xlnm.Print_Area" localSheetId="1">'Well Summary (3)'!$A$2:$N$27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4" l="1"/>
  <c r="J27" i="4"/>
  <c r="BW26" i="4"/>
  <c r="Q26" i="4"/>
  <c r="O26" i="4"/>
  <c r="L26" i="4"/>
  <c r="I26" i="4"/>
  <c r="K26" i="4" s="1"/>
  <c r="BW25" i="4"/>
  <c r="I25" i="4" s="1"/>
  <c r="K25" i="4" s="1"/>
  <c r="Q25" i="4"/>
  <c r="O25" i="4"/>
  <c r="L25" i="4"/>
  <c r="BW24" i="4"/>
  <c r="Q24" i="4"/>
  <c r="O24" i="4"/>
  <c r="L24" i="4"/>
  <c r="I24" i="4"/>
  <c r="K24" i="4" s="1"/>
  <c r="BW23" i="4"/>
  <c r="I23" i="4" s="1"/>
  <c r="K23" i="4" s="1"/>
  <c r="Q23" i="4"/>
  <c r="O23" i="4"/>
  <c r="L23" i="4"/>
  <c r="BW22" i="4"/>
  <c r="Q22" i="4"/>
  <c r="O22" i="4"/>
  <c r="L22" i="4"/>
  <c r="I22" i="4"/>
  <c r="K22" i="4" s="1"/>
  <c r="BW21" i="4"/>
  <c r="I21" i="4" s="1"/>
  <c r="K21" i="4" s="1"/>
  <c r="Q21" i="4"/>
  <c r="O21" i="4"/>
  <c r="L21" i="4"/>
  <c r="BW20" i="4"/>
  <c r="Q20" i="4"/>
  <c r="O20" i="4"/>
  <c r="L20" i="4"/>
  <c r="I20" i="4"/>
  <c r="K20" i="4" s="1"/>
  <c r="BW19" i="4"/>
  <c r="I19" i="4" s="1"/>
  <c r="K19" i="4" s="1"/>
  <c r="Q19" i="4"/>
  <c r="O19" i="4"/>
  <c r="L19" i="4"/>
  <c r="J27" i="3"/>
  <c r="BX26" i="3"/>
  <c r="I26" i="3" s="1"/>
  <c r="K26" i="3" s="1"/>
  <c r="Q26" i="3"/>
  <c r="O26" i="3"/>
  <c r="L26" i="3"/>
  <c r="BX25" i="3"/>
  <c r="I25" i="3" s="1"/>
  <c r="K25" i="3" s="1"/>
  <c r="Q25" i="3"/>
  <c r="O25" i="3"/>
  <c r="L25" i="3"/>
  <c r="BX24" i="3"/>
  <c r="I24" i="3" s="1"/>
  <c r="K24" i="3" s="1"/>
  <c r="Q24" i="3"/>
  <c r="O24" i="3"/>
  <c r="L24" i="3"/>
  <c r="BX23" i="3"/>
  <c r="I23" i="3" s="1"/>
  <c r="K23" i="3" s="1"/>
  <c r="Q23" i="3"/>
  <c r="O23" i="3"/>
  <c r="L23" i="3"/>
  <c r="BX22" i="3"/>
  <c r="I22" i="3" s="1"/>
  <c r="K22" i="3" s="1"/>
  <c r="Q22" i="3"/>
  <c r="O22" i="3"/>
  <c r="L22" i="3"/>
  <c r="BX21" i="3"/>
  <c r="I21" i="3" s="1"/>
  <c r="K21" i="3" s="1"/>
  <c r="Q21" i="3"/>
  <c r="O21" i="3"/>
  <c r="L21" i="3"/>
  <c r="BX20" i="3"/>
  <c r="I20" i="3" s="1"/>
  <c r="K20" i="3" s="1"/>
  <c r="Q20" i="3"/>
  <c r="O20" i="3"/>
  <c r="L20" i="3"/>
  <c r="BX19" i="3"/>
  <c r="I19" i="3" s="1"/>
  <c r="K19" i="3" s="1"/>
  <c r="Q19" i="3"/>
  <c r="O19" i="3"/>
  <c r="L19" i="3"/>
  <c r="BJ22" i="1"/>
  <c r="I22" i="1" s="1"/>
  <c r="K22" i="1" s="1"/>
  <c r="BJ23" i="1"/>
  <c r="I23" i="1" s="1"/>
  <c r="K23" i="1" s="1"/>
  <c r="BJ24" i="1"/>
  <c r="I24" i="1" s="1"/>
  <c r="K24" i="1" s="1"/>
  <c r="BJ25" i="1"/>
  <c r="I25" i="1" s="1"/>
  <c r="K25" i="1" s="1"/>
  <c r="BJ26" i="1"/>
  <c r="I26" i="1" s="1"/>
  <c r="K26" i="1" s="1"/>
  <c r="BJ27" i="1"/>
  <c r="I27" i="1" s="1"/>
  <c r="K27" i="1" s="1"/>
  <c r="BJ28" i="1"/>
  <c r="I28" i="1" s="1"/>
  <c r="K28" i="1" s="1"/>
  <c r="BJ21" i="1"/>
  <c r="I21" i="1" s="1"/>
  <c r="K21" i="1" s="1"/>
  <c r="J29" i="1"/>
  <c r="Q28" i="1"/>
  <c r="O28" i="1"/>
  <c r="L28" i="1"/>
  <c r="Q27" i="1"/>
  <c r="O27" i="1"/>
  <c r="L27" i="1"/>
  <c r="Q26" i="1"/>
  <c r="O26" i="1"/>
  <c r="L26" i="1"/>
  <c r="Q25" i="1"/>
  <c r="O25" i="1"/>
  <c r="L25" i="1"/>
  <c r="Q24" i="1"/>
  <c r="O24" i="1"/>
  <c r="L24" i="1"/>
  <c r="Q23" i="1"/>
  <c r="O23" i="1"/>
  <c r="L23" i="1"/>
  <c r="Q22" i="1"/>
  <c r="O22" i="1"/>
  <c r="L22" i="1"/>
  <c r="Q21" i="1"/>
  <c r="O21" i="1"/>
  <c r="L21" i="1"/>
  <c r="O27" i="3" l="1"/>
  <c r="O29" i="1"/>
</calcChain>
</file>

<file path=xl/sharedStrings.xml><?xml version="1.0" encoding="utf-8"?>
<sst xmlns="http://schemas.openxmlformats.org/spreadsheetml/2006/main" count="1491" uniqueCount="192">
  <si>
    <t>API_UWI</t>
  </si>
  <si>
    <t>WellName</t>
  </si>
  <si>
    <t>StateProvince</t>
  </si>
  <si>
    <t>County</t>
  </si>
  <si>
    <t>ENVOperator</t>
  </si>
  <si>
    <t>ENVInterval</t>
  </si>
  <si>
    <t>ENVWellStatus</t>
  </si>
  <si>
    <t>FirstProdDate</t>
  </si>
  <si>
    <t>Latitude</t>
  </si>
  <si>
    <t>Longitude</t>
  </si>
  <si>
    <t>Latitude_BH</t>
  </si>
  <si>
    <t>Longitude_BH</t>
  </si>
  <si>
    <t>TVD_FT</t>
  </si>
  <si>
    <t>Survey</t>
  </si>
  <si>
    <t>Block</t>
  </si>
  <si>
    <t>Abstract</t>
  </si>
  <si>
    <t>Platform</t>
  </si>
  <si>
    <t>Section</t>
  </si>
  <si>
    <t>Township</t>
  </si>
  <si>
    <t>Range</t>
  </si>
  <si>
    <t>ENVElevationKB_FT</t>
  </si>
  <si>
    <t>PerfInterval_FT</t>
  </si>
  <si>
    <t>LateralLength_FT</t>
  </si>
  <si>
    <t>42-301-36928</t>
  </si>
  <si>
    <t>MOOSEHORN 54-1-41-44 G 61H</t>
  </si>
  <si>
    <t>TX</t>
  </si>
  <si>
    <t>LOVING</t>
  </si>
  <si>
    <t>OCCIDENTAL</t>
  </si>
  <si>
    <t>OXY</t>
  </si>
  <si>
    <t>WOLFCAMP B UPPER</t>
  </si>
  <si>
    <t>PERMITTED</t>
  </si>
  <si>
    <t>T&amp;P RR CO</t>
  </si>
  <si>
    <t>42-301-36929</t>
  </si>
  <si>
    <t>MOOSEHORN 54-1-41-44 H 62H</t>
  </si>
  <si>
    <t>42-301-36930</t>
  </si>
  <si>
    <t>MOOSEHORN 54-1-41-44 I 63H</t>
  </si>
  <si>
    <t>42-301-36934</t>
  </si>
  <si>
    <t>MOOSEHORN 54-1-41-44 J 64H</t>
  </si>
  <si>
    <t>42-301-36933</t>
  </si>
  <si>
    <t>MOOSEHORN 54-1-41-44 K 65H</t>
  </si>
  <si>
    <t>42-301-36935</t>
  </si>
  <si>
    <t>MOOSEHORN 54-1-41-44 L 66H</t>
  </si>
  <si>
    <t>42-301-36931</t>
  </si>
  <si>
    <t>MOOSEHORN 54-1-41-44 M 71H</t>
  </si>
  <si>
    <t>WOLFCAMP A LOWER</t>
  </si>
  <si>
    <t>42-301-36936</t>
  </si>
  <si>
    <t>MOOSEHORN 54-1-41-44 N 72H</t>
  </si>
  <si>
    <t>Moosehorn Project</t>
  </si>
  <si>
    <t>GWI available for sale</t>
  </si>
  <si>
    <t>County, State</t>
  </si>
  <si>
    <t>Loving, TX</t>
  </si>
  <si>
    <t>Location</t>
  </si>
  <si>
    <t>Sections 41 &amp; 44, Block 54, T1</t>
  </si>
  <si>
    <t>Seller</t>
  </si>
  <si>
    <t>COP</t>
  </si>
  <si>
    <t>Operator</t>
  </si>
  <si>
    <t>JOA</t>
  </si>
  <si>
    <t>JOA in place</t>
  </si>
  <si>
    <t>Timing:</t>
  </si>
  <si>
    <t>Bid Due</t>
  </si>
  <si>
    <t>AFE Election Date</t>
  </si>
  <si>
    <t>AFE Letter dated 6/17/2024</t>
  </si>
  <si>
    <t>Spud</t>
  </si>
  <si>
    <t>First Production</t>
  </si>
  <si>
    <t>Remarks</t>
  </si>
  <si>
    <t>Source</t>
  </si>
  <si>
    <t>AFE</t>
  </si>
  <si>
    <t>Logs</t>
  </si>
  <si>
    <t>Prism</t>
  </si>
  <si>
    <t>Surveys</t>
  </si>
  <si>
    <t>Plat</t>
  </si>
  <si>
    <t>BHL</t>
  </si>
  <si>
    <t>Perforated</t>
  </si>
  <si>
    <t>Effective</t>
  </si>
  <si>
    <t>GWI for Sale</t>
  </si>
  <si>
    <t>RKB</t>
  </si>
  <si>
    <t>In</t>
  </si>
  <si>
    <t>Landing</t>
  </si>
  <si>
    <t>MD</t>
  </si>
  <si>
    <t>TVD</t>
  </si>
  <si>
    <t>Interval</t>
  </si>
  <si>
    <t>Gross AFE</t>
  </si>
  <si>
    <t>Well Cost</t>
  </si>
  <si>
    <t>Gross NRI</t>
  </si>
  <si>
    <t>Net NRI</t>
  </si>
  <si>
    <t>Net AFE Capital</t>
  </si>
  <si>
    <t>Elevation</t>
  </si>
  <si>
    <t>TVD SS</t>
  </si>
  <si>
    <t>Landing Zone</t>
  </si>
  <si>
    <t>FTP</t>
  </si>
  <si>
    <t>LTP</t>
  </si>
  <si>
    <t>BH</t>
  </si>
  <si>
    <t>No.</t>
  </si>
  <si>
    <t>Well Name</t>
  </si>
  <si>
    <t>API</t>
  </si>
  <si>
    <t>Zone</t>
  </si>
  <si>
    <t>Status</t>
  </si>
  <si>
    <t>(ft)</t>
  </si>
  <si>
    <t>($)</t>
  </si>
  <si>
    <t>$/lateral ft</t>
  </si>
  <si>
    <t>(%)</t>
  </si>
  <si>
    <t>Hyp Spacing</t>
  </si>
  <si>
    <t>State</t>
  </si>
  <si>
    <t>X</t>
  </si>
  <si>
    <t>Y</t>
  </si>
  <si>
    <t>2BSS</t>
  </si>
  <si>
    <t>permitted</t>
  </si>
  <si>
    <t>3BSL</t>
  </si>
  <si>
    <t>3BS</t>
  </si>
  <si>
    <t>see FP-LP at right</t>
  </si>
  <si>
    <t>First Penetration Lattitude</t>
  </si>
  <si>
    <t>First Peneatriona Longitude</t>
  </si>
  <si>
    <t>First Take Point Lattitude</t>
  </si>
  <si>
    <t>First Take Point Longitude</t>
  </si>
  <si>
    <t>Last Take Point Lattitude</t>
  </si>
  <si>
    <t>Last Take Point Longitude</t>
  </si>
  <si>
    <t>Surface</t>
  </si>
  <si>
    <t>Distance FWL</t>
  </si>
  <si>
    <t>FEL</t>
  </si>
  <si>
    <t>FSL</t>
  </si>
  <si>
    <t>FNL</t>
  </si>
  <si>
    <t>Texas Abstract</t>
  </si>
  <si>
    <t>Texas  Block</t>
  </si>
  <si>
    <t>Location Strategy</t>
  </si>
  <si>
    <t>XY</t>
  </si>
  <si>
    <t>SL</t>
  </si>
  <si>
    <t>Legal Description</t>
  </si>
  <si>
    <t>NW Township Range</t>
  </si>
  <si>
    <t>Loving</t>
  </si>
  <si>
    <t xml:space="preserve"> 54 T1</t>
  </si>
  <si>
    <t>A-64</t>
  </si>
  <si>
    <t>A-440</t>
  </si>
  <si>
    <t>System</t>
  </si>
  <si>
    <t>NAD27</t>
  </si>
  <si>
    <t>SL FTP</t>
  </si>
  <si>
    <t>LTP  BH</t>
  </si>
  <si>
    <t>LTP BH</t>
  </si>
  <si>
    <t>FWL</t>
  </si>
  <si>
    <t>Latitude Longitude</t>
  </si>
  <si>
    <t>All</t>
  </si>
  <si>
    <t>Perf Interval</t>
  </si>
  <si>
    <t>31°54'44.16"</t>
  </si>
  <si>
    <t>-103° 40'57.37"</t>
  </si>
  <si>
    <t>31°53'01.10"</t>
  </si>
  <si>
    <t>-103° 40'57.38"</t>
  </si>
  <si>
    <t>31°54'44.15"</t>
  </si>
  <si>
    <t>-103° 40'47.00"</t>
  </si>
  <si>
    <t>-103° 40' 48.10"</t>
  </si>
  <si>
    <t>-103° 40'36.63"</t>
  </si>
  <si>
    <t>31°53'01.09"</t>
  </si>
  <si>
    <t>-103°40'37.73"</t>
  </si>
  <si>
    <t>31°54'44.14"</t>
  </si>
  <si>
    <t>-103° 40'26.31"</t>
  </si>
  <si>
    <t>31°53'01.08"</t>
  </si>
  <si>
    <t>-103° 40'27.30"</t>
  </si>
  <si>
    <t>-103° 40'15.94"</t>
  </si>
  <si>
    <t>-103° 40'16.93"</t>
  </si>
  <si>
    <t>31°54'44.13"</t>
  </si>
  <si>
    <t>-103° 40'06. 73"</t>
  </si>
  <si>
    <t>31°53'01.07"</t>
  </si>
  <si>
    <t>-103° 40'06.56"</t>
  </si>
  <si>
    <t>-103° 40'41.81"</t>
  </si>
  <si>
    <t>-103°40'42.92"</t>
  </si>
  <si>
    <t>-103° 40'21.12"</t>
  </si>
  <si>
    <t>-103° 40'22.12"</t>
  </si>
  <si>
    <t>TX Abstract</t>
  </si>
  <si>
    <t>TX  Block</t>
  </si>
  <si>
    <t>NM Township</t>
  </si>
  <si>
    <t>NM Range</t>
  </si>
  <si>
    <t>Sl</t>
  </si>
  <si>
    <t>DEVELOPMENT NOTES</t>
  </si>
  <si>
    <t>Surface location</t>
  </si>
  <si>
    <t>First Take Point</t>
  </si>
  <si>
    <t>Last Take Point</t>
  </si>
  <si>
    <t>Bottome Hole Location</t>
  </si>
  <si>
    <t>Project Location</t>
  </si>
  <si>
    <t>Sections 41 &amp; 44, Block 54, T1, Loving County TX</t>
  </si>
  <si>
    <t>calculated</t>
  </si>
  <si>
    <t>For input</t>
  </si>
  <si>
    <t>required</t>
  </si>
  <si>
    <t>reguired</t>
  </si>
  <si>
    <t>not</t>
  </si>
  <si>
    <t>req</t>
  </si>
  <si>
    <t>re</t>
  </si>
  <si>
    <t>mix</t>
  </si>
  <si>
    <t>if you hae the xy use xy, no need to enter lat/log or section references, if not use section references</t>
  </si>
  <si>
    <t>TX&amp;NM</t>
  </si>
  <si>
    <t>AFE/Plat</t>
  </si>
  <si>
    <t>Legal</t>
  </si>
  <si>
    <t>Southwest Corner</t>
  </si>
  <si>
    <t>54 T1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</si>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</sst>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\$#,##0_);\(\$#,##0\)"/>
    <numFmt numFmtId="165" formatCode="#,##0.000%"/>
    <numFmt numFmtId="166" formatCode="#,##0.0000%"/>
    <numFmt numFmtId="167" formatCode="#,##0%"/>
    <numFmt numFmtId="168" formatCode="#,##0.00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242424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FFF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3" fontId="2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7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right"/>
    </xf>
    <xf numFmtId="14" fontId="2" fillId="0" borderId="2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 wrapText="1"/>
    </xf>
    <xf numFmtId="3" fontId="5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5" fillId="3" borderId="7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 applyAlignment="1">
      <alignment horizontal="right"/>
    </xf>
    <xf numFmtId="4" fontId="8" fillId="0" borderId="1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 wrapText="1"/>
    </xf>
    <xf numFmtId="4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0" fillId="0" borderId="0" xfId="0" applyAlignment="1">
      <alignment wrapText="1"/>
    </xf>
    <xf numFmtId="3" fontId="3" fillId="2" borderId="9" xfId="0" applyNumberFormat="1" applyFont="1" applyFill="1" applyBorder="1" applyAlignment="1">
      <alignment horizontal="center"/>
    </xf>
    <xf numFmtId="3" fontId="6" fillId="2" borderId="10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3" fontId="5" fillId="0" borderId="10" xfId="0" applyNumberFormat="1" applyFont="1" applyBorder="1" applyAlignment="1">
      <alignment horizontal="center" wrapText="1"/>
    </xf>
    <xf numFmtId="164" fontId="5" fillId="0" borderId="10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3" fontId="6" fillId="2" borderId="11" xfId="0" applyNumberFormat="1" applyFont="1" applyFill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3" fillId="2" borderId="8" xfId="0" applyNumberFormat="1" applyFont="1" applyFill="1" applyBorder="1" applyAlignment="1">
      <alignment horizontal="center"/>
    </xf>
    <xf numFmtId="3" fontId="6" fillId="2" borderId="15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8" xfId="0" applyNumberFormat="1" applyFon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3" fontId="6" fillId="2" borderId="20" xfId="0" applyNumberFormat="1" applyFont="1" applyFill="1" applyBorder="1" applyAlignment="1">
      <alignment horizontal="center"/>
    </xf>
    <xf numFmtId="3" fontId="6" fillId="2" borderId="17" xfId="0" applyNumberFormat="1" applyFont="1" applyFill="1" applyBorder="1" applyAlignment="1">
      <alignment horizontal="center"/>
    </xf>
    <xf numFmtId="3" fontId="3" fillId="2" borderId="21" xfId="0" applyNumberFormat="1" applyFont="1" applyFill="1" applyBorder="1" applyAlignment="1">
      <alignment horizontal="center"/>
    </xf>
    <xf numFmtId="3" fontId="3" fillId="2" borderId="22" xfId="0" applyNumberFormat="1" applyFont="1" applyFill="1" applyBorder="1" applyAlignment="1">
      <alignment horizontal="center"/>
    </xf>
    <xf numFmtId="3" fontId="3" fillId="2" borderId="17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3" fontId="5" fillId="0" borderId="22" xfId="0" applyNumberFormat="1" applyFont="1" applyBorder="1" applyAlignment="1">
      <alignment horizontal="center"/>
    </xf>
    <xf numFmtId="3" fontId="5" fillId="0" borderId="21" xfId="0" applyNumberFormat="1" applyFont="1" applyBorder="1" applyAlignment="1">
      <alignment horizontal="center"/>
    </xf>
    <xf numFmtId="3" fontId="0" fillId="4" borderId="8" xfId="0" applyNumberForma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1" fillId="4" borderId="8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/>
    <xf numFmtId="3" fontId="2" fillId="2" borderId="8" xfId="0" applyNumberFormat="1" applyFont="1" applyFill="1" applyBorder="1" applyAlignment="1">
      <alignment horizontal="center"/>
    </xf>
    <xf numFmtId="3" fontId="0" fillId="5" borderId="8" xfId="0" applyNumberFormat="1" applyFill="1" applyBorder="1" applyAlignment="1">
      <alignment horizontal="center"/>
    </xf>
    <xf numFmtId="2" fontId="5" fillId="0" borderId="8" xfId="1" applyNumberFormat="1" applyFont="1" applyBorder="1" applyAlignment="1">
      <alignment horizontal="center"/>
    </xf>
    <xf numFmtId="2" fontId="5" fillId="0" borderId="2" xfId="1" applyNumberFormat="1" applyFont="1" applyBorder="1" applyAlignment="1">
      <alignment horizontal="center"/>
    </xf>
    <xf numFmtId="2" fontId="2" fillId="0" borderId="22" xfId="1" applyNumberFormat="1" applyFont="1" applyBorder="1" applyAlignment="1">
      <alignment horizontal="center"/>
    </xf>
    <xf numFmtId="2" fontId="2" fillId="0" borderId="8" xfId="1" applyNumberFormat="1" applyFont="1" applyBorder="1" applyAlignment="1">
      <alignment horizontal="center"/>
    </xf>
    <xf numFmtId="2" fontId="2" fillId="0" borderId="2" xfId="1" applyNumberFormat="1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3" fontId="3" fillId="5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0" borderId="0" xfId="0" applyNumberFormat="1"/>
    <xf numFmtId="165" fontId="3" fillId="5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left"/>
    </xf>
    <xf numFmtId="3" fontId="3" fillId="5" borderId="2" xfId="0" applyNumberFormat="1" applyFont="1" applyFill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3" fontId="4" fillId="0" borderId="5" xfId="0" applyNumberFormat="1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4" fontId="2" fillId="0" borderId="3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160B-587C-479C-9DDF-6A0DE47CF868}">
  <sheetPr>
    <outlinePr summaryBelow="0"/>
  </sheetPr>
  <dimension ref="A1:BX30"/>
  <sheetViews>
    <sheetView tabSelected="1" topLeftCell="O6" workbookViewId="0">
      <selection activeCell="AA19" sqref="AA19:AA26"/>
    </sheetView>
  </sheetViews>
  <sheetFormatPr defaultRowHeight="14.5" x14ac:dyDescent="0.35"/>
  <cols>
    <col min="1" max="1" width="17.1796875" style="2" customWidth="1"/>
    <col min="2" max="2" width="35.81640625" style="1" customWidth="1"/>
    <col min="3" max="3" width="17" style="3" customWidth="1"/>
    <col min="4" max="5" width="13.1796875" style="1" customWidth="1"/>
    <col min="6" max="6" width="13.81640625" style="1" customWidth="1"/>
    <col min="7" max="8" width="12.1796875" style="2" customWidth="1"/>
    <col min="9" max="9" width="14.26953125" style="2" bestFit="1" customWidth="1"/>
    <col min="10" max="10" width="11.453125" style="4" bestFit="1" customWidth="1"/>
    <col min="11" max="11" width="9.54296875" style="4" bestFit="1" customWidth="1"/>
    <col min="12" max="12" width="8.453125" style="5" bestFit="1" customWidth="1"/>
    <col min="13" max="13" width="8.7265625" style="6" bestFit="1" customWidth="1"/>
    <col min="14" max="14" width="10.54296875" style="6" bestFit="1" customWidth="1"/>
    <col min="15" max="15" width="13.1796875" style="4" bestFit="1" customWidth="1"/>
    <col min="16" max="16" width="8.1796875" style="2" bestFit="1" customWidth="1"/>
    <col min="17" max="17" width="7.81640625" style="2" customWidth="1"/>
    <col min="18" max="18" width="11.26953125" style="2" bestFit="1" customWidth="1"/>
    <col min="19" max="19" width="6.81640625" style="2" customWidth="1"/>
    <col min="20" max="20" width="8.81640625" style="2" customWidth="1"/>
    <col min="21" max="25" width="15.1796875" style="2" customWidth="1"/>
    <col min="26" max="27" width="6.7265625" style="2" customWidth="1"/>
    <col min="28" max="28" width="11.26953125" style="2" bestFit="1" customWidth="1"/>
    <col min="29" max="29" width="9.453125" style="2" bestFit="1" customWidth="1"/>
    <col min="30" max="33" width="9.81640625" style="2" bestFit="1" customWidth="1"/>
    <col min="34" max="35" width="9.453125" style="2" bestFit="1" customWidth="1"/>
    <col min="36" max="43" width="17.81640625" style="2" bestFit="1" customWidth="1"/>
    <col min="44" max="44" width="12.26953125" style="2" bestFit="1" customWidth="1"/>
    <col min="45" max="45" width="10.1796875" style="2" bestFit="1" customWidth="1"/>
    <col min="46" max="46" width="17.26953125" style="2" bestFit="1" customWidth="1"/>
    <col min="47" max="47" width="17.26953125" style="2" customWidth="1"/>
    <col min="48" max="52" width="9.453125" style="2" customWidth="1"/>
    <col min="53" max="53" width="12.26953125" style="2" bestFit="1" customWidth="1"/>
    <col min="54" max="54" width="10.1796875" style="2" bestFit="1" customWidth="1"/>
    <col min="55" max="55" width="17.26953125" style="2" bestFit="1" customWidth="1"/>
    <col min="56" max="56" width="17.26953125" style="2" customWidth="1"/>
    <col min="57" max="61" width="9.453125" style="2" customWidth="1"/>
    <col min="62" max="62" width="12.26953125" style="2" bestFit="1" customWidth="1"/>
    <col min="63" max="63" width="10.1796875" style="2" bestFit="1" customWidth="1"/>
    <col min="64" max="64" width="17.26953125" style="2" bestFit="1" customWidth="1"/>
    <col min="65" max="65" width="17.26953125" style="2" customWidth="1"/>
    <col min="66" max="70" width="9.453125" style="2" customWidth="1"/>
    <col min="71" max="71" width="12.26953125" style="2" bestFit="1" customWidth="1"/>
    <col min="72" max="72" width="10.1796875" style="2" bestFit="1" customWidth="1"/>
    <col min="73" max="73" width="17.26953125" style="2" bestFit="1" customWidth="1"/>
    <col min="74" max="74" width="17.26953125" style="2" customWidth="1"/>
    <col min="75" max="75" width="9.453125" style="2" customWidth="1"/>
    <col min="76" max="76" width="17.453125" bestFit="1" customWidth="1"/>
  </cols>
  <sheetData>
    <row r="1" spans="1:76" ht="18.75" customHeight="1" x14ac:dyDescent="0.35"/>
    <row r="2" spans="1:76" ht="14.5" customHeight="1" x14ac:dyDescent="0.35">
      <c r="A2" s="7"/>
      <c r="B2" s="8" t="s">
        <v>47</v>
      </c>
      <c r="C2" s="9"/>
      <c r="D2" s="10"/>
      <c r="E2" s="10"/>
      <c r="F2" s="10"/>
      <c r="G2" s="11"/>
      <c r="I2" s="2" t="s">
        <v>170</v>
      </c>
    </row>
    <row r="3" spans="1:76" ht="14.5" customHeight="1" x14ac:dyDescent="0.35">
      <c r="A3" s="7"/>
      <c r="B3" s="12" t="s">
        <v>49</v>
      </c>
      <c r="C3" s="14" t="s">
        <v>50</v>
      </c>
      <c r="D3" s="15"/>
      <c r="E3" s="15"/>
      <c r="F3" s="15"/>
      <c r="G3" s="15"/>
      <c r="I3" s="2" t="s">
        <v>125</v>
      </c>
      <c r="J3" s="123" t="s">
        <v>171</v>
      </c>
    </row>
    <row r="4" spans="1:76" ht="14.5" customHeight="1" x14ac:dyDescent="0.35">
      <c r="A4" s="7"/>
      <c r="B4" s="12" t="s">
        <v>51</v>
      </c>
      <c r="C4" s="128" t="s">
        <v>52</v>
      </c>
      <c r="D4" s="129"/>
      <c r="E4" s="129"/>
      <c r="F4" s="129"/>
      <c r="G4" s="130"/>
      <c r="I4" s="2" t="s">
        <v>89</v>
      </c>
      <c r="J4" s="123" t="s">
        <v>172</v>
      </c>
    </row>
    <row r="5" spans="1:76" ht="18.75" customHeight="1" x14ac:dyDescent="0.35">
      <c r="A5" s="7"/>
      <c r="B5" s="12" t="s">
        <v>53</v>
      </c>
      <c r="C5" s="131" t="s">
        <v>54</v>
      </c>
      <c r="D5" s="132"/>
      <c r="E5" s="12"/>
      <c r="F5" s="12"/>
      <c r="G5" s="7"/>
      <c r="I5" s="2" t="s">
        <v>90</v>
      </c>
      <c r="J5" s="123" t="s">
        <v>173</v>
      </c>
    </row>
    <row r="6" spans="1:76" ht="18.75" customHeight="1" x14ac:dyDescent="0.35">
      <c r="A6" s="7"/>
      <c r="B6" s="12" t="s">
        <v>55</v>
      </c>
      <c r="C6" s="131" t="s">
        <v>28</v>
      </c>
      <c r="D6" s="132"/>
      <c r="E6" s="12"/>
      <c r="F6" s="12"/>
      <c r="G6" s="7"/>
      <c r="I6" s="2" t="s">
        <v>91</v>
      </c>
      <c r="J6" s="123" t="s">
        <v>174</v>
      </c>
    </row>
    <row r="7" spans="1:76" ht="18.75" customHeight="1" x14ac:dyDescent="0.35">
      <c r="A7" s="7"/>
      <c r="B7" s="12" t="s">
        <v>56</v>
      </c>
      <c r="C7" s="16" t="s">
        <v>57</v>
      </c>
      <c r="D7" s="12"/>
      <c r="E7" s="12"/>
      <c r="F7" s="12"/>
      <c r="G7" s="7"/>
      <c r="V7" s="2" t="s">
        <v>169</v>
      </c>
      <c r="AS7" s="2" t="s">
        <v>169</v>
      </c>
      <c r="BB7" s="2" t="s">
        <v>169</v>
      </c>
      <c r="BK7" s="2" t="s">
        <v>169</v>
      </c>
      <c r="BT7" s="2" t="s">
        <v>169</v>
      </c>
    </row>
    <row r="8" spans="1:76" ht="18.75" customHeight="1" x14ac:dyDescent="0.35">
      <c r="A8" s="7"/>
      <c r="B8" s="12" t="s">
        <v>59</v>
      </c>
      <c r="C8" s="16">
        <v>45476</v>
      </c>
      <c r="D8" s="12"/>
      <c r="E8" s="12"/>
      <c r="F8" s="12"/>
      <c r="G8" s="7"/>
    </row>
    <row r="9" spans="1:76" ht="18.75" customHeight="1" x14ac:dyDescent="0.35">
      <c r="A9" s="7"/>
      <c r="B9" s="12" t="s">
        <v>60</v>
      </c>
      <c r="C9" s="16">
        <v>45490</v>
      </c>
      <c r="D9" s="12" t="s">
        <v>61</v>
      </c>
      <c r="E9" s="12"/>
      <c r="F9" s="12"/>
      <c r="G9" s="7"/>
    </row>
    <row r="10" spans="1:76" ht="18.75" customHeight="1" x14ac:dyDescent="0.35">
      <c r="A10" s="7"/>
      <c r="B10" s="12" t="s">
        <v>62</v>
      </c>
      <c r="C10" s="16">
        <v>45482</v>
      </c>
      <c r="D10" s="12"/>
      <c r="E10" s="12"/>
      <c r="F10" s="12"/>
      <c r="G10" s="7"/>
    </row>
    <row r="11" spans="1:76" ht="18.75" customHeight="1" x14ac:dyDescent="0.35">
      <c r="A11" s="7"/>
      <c r="B11" s="12" t="s">
        <v>63</v>
      </c>
      <c r="C11" s="16">
        <v>45657</v>
      </c>
      <c r="D11" s="12"/>
      <c r="E11" s="12"/>
      <c r="F11" s="18"/>
      <c r="G11" s="18"/>
    </row>
    <row r="12" spans="1:76" ht="18.75" customHeight="1" x14ac:dyDescent="0.35">
      <c r="A12" s="7"/>
      <c r="B12" s="12" t="s">
        <v>64</v>
      </c>
      <c r="C12" s="133"/>
      <c r="D12" s="134"/>
      <c r="E12" s="134"/>
      <c r="F12" s="134"/>
      <c r="G12" s="135"/>
      <c r="O12" s="19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</row>
    <row r="13" spans="1:76" ht="18.75" customHeight="1" x14ac:dyDescent="0.35">
      <c r="A13" s="17"/>
    </row>
    <row r="14" spans="1:76" s="72" customFormat="1" ht="18.75" customHeight="1" x14ac:dyDescent="0.35">
      <c r="A14" s="109" t="s">
        <v>123</v>
      </c>
      <c r="B14" s="107" t="s">
        <v>139</v>
      </c>
      <c r="C14" s="107" t="s">
        <v>139</v>
      </c>
      <c r="D14" s="107" t="s">
        <v>139</v>
      </c>
      <c r="E14" s="107" t="s">
        <v>139</v>
      </c>
      <c r="F14" s="107" t="s">
        <v>139</v>
      </c>
      <c r="G14" s="107" t="s">
        <v>139</v>
      </c>
      <c r="H14" s="107" t="s">
        <v>139</v>
      </c>
      <c r="I14" s="107" t="s">
        <v>139</v>
      </c>
      <c r="J14" s="107" t="s">
        <v>139</v>
      </c>
      <c r="K14" s="107" t="s">
        <v>139</v>
      </c>
      <c r="L14" s="107" t="s">
        <v>139</v>
      </c>
      <c r="M14" s="107" t="s">
        <v>139</v>
      </c>
      <c r="N14" s="107" t="s">
        <v>139</v>
      </c>
      <c r="O14" s="107" t="s">
        <v>139</v>
      </c>
      <c r="P14" s="107" t="s">
        <v>139</v>
      </c>
      <c r="Q14" s="107" t="s">
        <v>139</v>
      </c>
      <c r="R14" s="107" t="s">
        <v>139</v>
      </c>
      <c r="S14" s="107" t="s">
        <v>139</v>
      </c>
      <c r="T14" s="107" t="s">
        <v>139</v>
      </c>
      <c r="U14" s="107" t="s">
        <v>139</v>
      </c>
      <c r="V14" s="107" t="s">
        <v>139</v>
      </c>
      <c r="W14" s="107" t="s">
        <v>139</v>
      </c>
      <c r="X14" s="107" t="s">
        <v>139</v>
      </c>
      <c r="Y14" s="107" t="s">
        <v>139</v>
      </c>
      <c r="Z14" s="107" t="s">
        <v>139</v>
      </c>
      <c r="AA14" s="107" t="s">
        <v>139</v>
      </c>
      <c r="AB14" s="107" t="s">
        <v>124</v>
      </c>
      <c r="AC14" s="107" t="s">
        <v>124</v>
      </c>
      <c r="AD14" s="107" t="s">
        <v>124</v>
      </c>
      <c r="AE14" s="107" t="s">
        <v>124</v>
      </c>
      <c r="AF14" s="107" t="s">
        <v>124</v>
      </c>
      <c r="AG14" s="107" t="s">
        <v>124</v>
      </c>
      <c r="AH14" s="107" t="s">
        <v>124</v>
      </c>
      <c r="AI14" s="107" t="s">
        <v>124</v>
      </c>
      <c r="AJ14" s="107" t="s">
        <v>138</v>
      </c>
      <c r="AK14" s="107" t="s">
        <v>138</v>
      </c>
      <c r="AL14" s="107" t="s">
        <v>138</v>
      </c>
      <c r="AM14" s="107" t="s">
        <v>138</v>
      </c>
      <c r="AN14" s="107" t="s">
        <v>138</v>
      </c>
      <c r="AO14" s="107" t="s">
        <v>138</v>
      </c>
      <c r="AP14" s="107" t="s">
        <v>138</v>
      </c>
      <c r="AQ14" s="107" t="s">
        <v>138</v>
      </c>
      <c r="AR14" s="107" t="s">
        <v>188</v>
      </c>
      <c r="AS14" s="107" t="s">
        <v>188</v>
      </c>
      <c r="AT14" s="107" t="s">
        <v>188</v>
      </c>
      <c r="AU14" s="107" t="s">
        <v>188</v>
      </c>
      <c r="AV14" s="107" t="s">
        <v>188</v>
      </c>
      <c r="AW14" s="107" t="s">
        <v>188</v>
      </c>
      <c r="AX14" s="107" t="s">
        <v>188</v>
      </c>
      <c r="AY14" s="107" t="s">
        <v>188</v>
      </c>
      <c r="AZ14" s="107" t="s">
        <v>188</v>
      </c>
      <c r="BA14" s="107" t="s">
        <v>188</v>
      </c>
      <c r="BB14" s="107" t="s">
        <v>188</v>
      </c>
      <c r="BC14" s="107" t="s">
        <v>188</v>
      </c>
      <c r="BD14" s="107" t="s">
        <v>188</v>
      </c>
      <c r="BE14" s="107" t="s">
        <v>188</v>
      </c>
      <c r="BF14" s="107" t="s">
        <v>188</v>
      </c>
      <c r="BG14" s="107" t="s">
        <v>188</v>
      </c>
      <c r="BH14" s="107" t="s">
        <v>188</v>
      </c>
      <c r="BI14" s="107" t="s">
        <v>188</v>
      </c>
      <c r="BJ14" s="107" t="s">
        <v>188</v>
      </c>
      <c r="BK14" s="107" t="s">
        <v>188</v>
      </c>
      <c r="BL14" s="107" t="s">
        <v>188</v>
      </c>
      <c r="BM14" s="107" t="s">
        <v>188</v>
      </c>
      <c r="BN14" s="107" t="s">
        <v>188</v>
      </c>
      <c r="BO14" s="107" t="s">
        <v>188</v>
      </c>
      <c r="BP14" s="107" t="s">
        <v>188</v>
      </c>
      <c r="BQ14" s="107" t="s">
        <v>188</v>
      </c>
      <c r="BR14" s="107" t="s">
        <v>188</v>
      </c>
      <c r="BS14" s="107" t="s">
        <v>188</v>
      </c>
      <c r="BT14" s="107" t="s">
        <v>188</v>
      </c>
      <c r="BU14" s="107" t="s">
        <v>188</v>
      </c>
      <c r="BV14" s="107" t="s">
        <v>188</v>
      </c>
      <c r="BW14" s="107" t="s">
        <v>188</v>
      </c>
      <c r="BX14" s="111"/>
    </row>
    <row r="15" spans="1:76" s="72" customFormat="1" ht="18.75" customHeight="1" x14ac:dyDescent="0.35">
      <c r="A15" s="65" t="s">
        <v>65</v>
      </c>
      <c r="B15" s="66"/>
      <c r="C15" s="67"/>
      <c r="D15" s="66" t="s">
        <v>66</v>
      </c>
      <c r="E15" s="66" t="s">
        <v>67</v>
      </c>
      <c r="F15" s="66" t="s">
        <v>68</v>
      </c>
      <c r="G15" s="65" t="s">
        <v>66</v>
      </c>
      <c r="H15" s="65" t="s">
        <v>66</v>
      </c>
      <c r="I15" s="68" t="s">
        <v>69</v>
      </c>
      <c r="J15" s="69" t="s">
        <v>66</v>
      </c>
      <c r="K15" s="69"/>
      <c r="L15" s="70" t="s">
        <v>53</v>
      </c>
      <c r="M15" s="71" t="s">
        <v>53</v>
      </c>
      <c r="N15" s="71" t="s">
        <v>53</v>
      </c>
      <c r="O15" s="69" t="s">
        <v>66</v>
      </c>
      <c r="P15" s="65" t="s">
        <v>68</v>
      </c>
      <c r="Q15" s="65"/>
      <c r="R15" s="65" t="s">
        <v>66</v>
      </c>
      <c r="S15" s="65"/>
      <c r="T15" s="65"/>
      <c r="U15" s="65" t="s">
        <v>187</v>
      </c>
      <c r="V15" s="65" t="s">
        <v>187</v>
      </c>
      <c r="W15" s="65" t="s">
        <v>187</v>
      </c>
      <c r="X15" s="65" t="s">
        <v>187</v>
      </c>
      <c r="Y15" s="65" t="s">
        <v>187</v>
      </c>
      <c r="Z15" s="65" t="s">
        <v>70</v>
      </c>
      <c r="AA15" s="65" t="s">
        <v>70</v>
      </c>
      <c r="AB15" s="44" t="s">
        <v>70</v>
      </c>
      <c r="AC15" s="105" t="s">
        <v>70</v>
      </c>
      <c r="AD15" s="105" t="s">
        <v>70</v>
      </c>
      <c r="AE15" s="105" t="s">
        <v>70</v>
      </c>
      <c r="AF15" s="105" t="s">
        <v>70</v>
      </c>
      <c r="AG15" s="105" t="s">
        <v>70</v>
      </c>
      <c r="AH15" s="105" t="s">
        <v>70</v>
      </c>
      <c r="AI15" s="105" t="s">
        <v>70</v>
      </c>
      <c r="AJ15" s="44" t="s">
        <v>70</v>
      </c>
      <c r="AK15" s="105" t="s">
        <v>70</v>
      </c>
      <c r="AL15" s="105" t="s">
        <v>70</v>
      </c>
      <c r="AM15" s="105" t="s">
        <v>70</v>
      </c>
      <c r="AN15" s="105" t="s">
        <v>70</v>
      </c>
      <c r="AO15" s="105" t="s">
        <v>70</v>
      </c>
      <c r="AP15" s="105" t="s">
        <v>70</v>
      </c>
      <c r="AQ15" s="105" t="s">
        <v>70</v>
      </c>
      <c r="AR15" s="65" t="s">
        <v>187</v>
      </c>
      <c r="AS15" s="65" t="s">
        <v>187</v>
      </c>
      <c r="AT15" s="65" t="s">
        <v>187</v>
      </c>
      <c r="AU15" s="65" t="s">
        <v>187</v>
      </c>
      <c r="AV15" s="65" t="s">
        <v>187</v>
      </c>
      <c r="AW15" s="65" t="s">
        <v>187</v>
      </c>
      <c r="AX15" s="65" t="s">
        <v>187</v>
      </c>
      <c r="AY15" s="65" t="s">
        <v>187</v>
      </c>
      <c r="AZ15" s="65" t="s">
        <v>187</v>
      </c>
      <c r="BA15" s="65" t="s">
        <v>187</v>
      </c>
      <c r="BB15" s="65" t="s">
        <v>187</v>
      </c>
      <c r="BC15" s="65" t="s">
        <v>187</v>
      </c>
      <c r="BD15" s="65" t="s">
        <v>187</v>
      </c>
      <c r="BE15" s="65" t="s">
        <v>187</v>
      </c>
      <c r="BF15" s="65" t="s">
        <v>187</v>
      </c>
      <c r="BG15" s="65" t="s">
        <v>187</v>
      </c>
      <c r="BH15" s="65" t="s">
        <v>187</v>
      </c>
      <c r="BI15" s="65" t="s">
        <v>187</v>
      </c>
      <c r="BJ15" s="65" t="s">
        <v>187</v>
      </c>
      <c r="BK15" s="65" t="s">
        <v>187</v>
      </c>
      <c r="BL15" s="65" t="s">
        <v>187</v>
      </c>
      <c r="BM15" s="65" t="s">
        <v>187</v>
      </c>
      <c r="BN15" s="65" t="s">
        <v>187</v>
      </c>
      <c r="BO15" s="65" t="s">
        <v>187</v>
      </c>
      <c r="BP15" s="65" t="s">
        <v>187</v>
      </c>
      <c r="BQ15" s="65" t="s">
        <v>187</v>
      </c>
      <c r="BR15" s="65" t="s">
        <v>187</v>
      </c>
      <c r="BS15" s="65" t="s">
        <v>187</v>
      </c>
      <c r="BT15" s="65" t="s">
        <v>187</v>
      </c>
      <c r="BU15" s="65" t="s">
        <v>187</v>
      </c>
      <c r="BV15" s="65" t="s">
        <v>187</v>
      </c>
      <c r="BW15" s="65" t="s">
        <v>187</v>
      </c>
      <c r="BX15" s="112" t="s">
        <v>70</v>
      </c>
    </row>
    <row r="16" spans="1:76" ht="18.75" customHeight="1" x14ac:dyDescent="0.35">
      <c r="A16" s="21"/>
      <c r="B16" s="22"/>
      <c r="C16" s="23"/>
      <c r="D16" s="22"/>
      <c r="E16" s="22"/>
      <c r="F16" s="22"/>
      <c r="G16" s="24"/>
      <c r="H16" s="24" t="s">
        <v>71</v>
      </c>
      <c r="I16" s="24" t="s">
        <v>72</v>
      </c>
      <c r="J16" s="25"/>
      <c r="K16" s="25"/>
      <c r="L16" s="26" t="s">
        <v>73</v>
      </c>
      <c r="M16" s="27"/>
      <c r="N16" s="27"/>
      <c r="O16" s="25" t="s">
        <v>74</v>
      </c>
      <c r="P16" s="24" t="s">
        <v>75</v>
      </c>
      <c r="Q16" s="24" t="s">
        <v>71</v>
      </c>
      <c r="R16" s="24" t="s">
        <v>76</v>
      </c>
      <c r="S16" s="24"/>
      <c r="T16" s="24"/>
      <c r="U16" s="126"/>
      <c r="V16" s="126"/>
      <c r="W16" s="126"/>
      <c r="X16" s="121"/>
      <c r="Y16" s="121" t="s">
        <v>186</v>
      </c>
      <c r="Z16" s="61"/>
      <c r="AA16" s="61"/>
      <c r="AB16" s="91"/>
      <c r="AC16" s="95"/>
      <c r="AD16" s="96"/>
      <c r="AE16" s="97"/>
      <c r="AF16" s="98"/>
      <c r="AG16" s="99"/>
      <c r="AH16" s="108"/>
      <c r="AI16" s="108"/>
      <c r="AJ16" s="85"/>
      <c r="AK16" s="95"/>
      <c r="AL16" s="96"/>
      <c r="AM16" s="97"/>
      <c r="AN16" s="98"/>
      <c r="AO16" s="99"/>
      <c r="AP16" s="96"/>
      <c r="AQ16" s="86"/>
      <c r="AR16" s="126"/>
      <c r="AS16" s="126"/>
      <c r="AT16" s="126"/>
      <c r="AU16" s="121"/>
      <c r="AV16" s="121" t="s">
        <v>186</v>
      </c>
      <c r="AW16" s="121"/>
      <c r="AX16" s="121"/>
      <c r="AY16" s="121"/>
      <c r="AZ16" s="121"/>
      <c r="BA16" s="126"/>
      <c r="BB16" s="126"/>
      <c r="BC16" s="126"/>
      <c r="BD16" s="121"/>
      <c r="BE16" s="121" t="s">
        <v>186</v>
      </c>
      <c r="BF16" s="121"/>
      <c r="BG16" s="121"/>
      <c r="BH16" s="121"/>
      <c r="BI16" s="121"/>
      <c r="BJ16" s="126"/>
      <c r="BK16" s="126"/>
      <c r="BL16" s="126"/>
      <c r="BM16" s="121"/>
      <c r="BN16" s="121" t="s">
        <v>186</v>
      </c>
      <c r="BO16" s="121"/>
      <c r="BP16" s="121"/>
      <c r="BQ16" s="121"/>
      <c r="BR16" s="121"/>
      <c r="BS16" s="126"/>
      <c r="BT16" s="126"/>
      <c r="BU16" s="126"/>
      <c r="BV16" s="121"/>
      <c r="BW16" s="121" t="s">
        <v>186</v>
      </c>
      <c r="BX16" s="83"/>
    </row>
    <row r="17" spans="1:76" ht="18.75" customHeight="1" x14ac:dyDescent="0.35">
      <c r="A17" s="21"/>
      <c r="B17" s="22"/>
      <c r="C17" s="23"/>
      <c r="D17" s="22" t="s">
        <v>77</v>
      </c>
      <c r="E17" s="22" t="s">
        <v>77</v>
      </c>
      <c r="F17" s="22"/>
      <c r="G17" s="24" t="s">
        <v>78</v>
      </c>
      <c r="H17" s="24" t="s">
        <v>79</v>
      </c>
      <c r="I17" s="24" t="s">
        <v>80</v>
      </c>
      <c r="J17" s="25" t="s">
        <v>81</v>
      </c>
      <c r="K17" s="25" t="s">
        <v>82</v>
      </c>
      <c r="L17" s="26" t="s">
        <v>83</v>
      </c>
      <c r="M17" s="27" t="s">
        <v>84</v>
      </c>
      <c r="N17" s="27" t="s">
        <v>74</v>
      </c>
      <c r="O17" s="25" t="s">
        <v>85</v>
      </c>
      <c r="P17" s="24" t="s">
        <v>86</v>
      </c>
      <c r="Q17" s="24" t="s">
        <v>87</v>
      </c>
      <c r="R17" s="28" t="s">
        <v>88</v>
      </c>
      <c r="S17" s="64"/>
      <c r="T17" s="64"/>
      <c r="U17" s="121" t="s">
        <v>165</v>
      </c>
      <c r="V17" s="121" t="s">
        <v>166</v>
      </c>
      <c r="W17" s="121" t="s">
        <v>167</v>
      </c>
      <c r="X17" s="121" t="s">
        <v>168</v>
      </c>
      <c r="Y17" s="121" t="s">
        <v>17</v>
      </c>
      <c r="Z17" s="83"/>
      <c r="AA17" s="83"/>
      <c r="AB17" s="83" t="s">
        <v>103</v>
      </c>
      <c r="AC17" s="86" t="s">
        <v>104</v>
      </c>
      <c r="AD17" s="63" t="s">
        <v>103</v>
      </c>
      <c r="AE17" s="63" t="s">
        <v>104</v>
      </c>
      <c r="AF17" s="63" t="s">
        <v>103</v>
      </c>
      <c r="AG17" s="84" t="s">
        <v>104</v>
      </c>
      <c r="AH17" s="84" t="s">
        <v>103</v>
      </c>
      <c r="AI17" s="84" t="s">
        <v>104</v>
      </c>
      <c r="AJ17" s="63" t="s">
        <v>8</v>
      </c>
      <c r="AK17" s="63" t="s">
        <v>9</v>
      </c>
      <c r="AL17" s="63" t="s">
        <v>8</v>
      </c>
      <c r="AM17" s="63" t="s">
        <v>9</v>
      </c>
      <c r="AN17" s="63" t="s">
        <v>8</v>
      </c>
      <c r="AO17" s="63" t="s">
        <v>9</v>
      </c>
      <c r="AP17" s="63" t="s">
        <v>8</v>
      </c>
      <c r="AQ17" s="63" t="s">
        <v>9</v>
      </c>
      <c r="AR17" s="121" t="s">
        <v>165</v>
      </c>
      <c r="AS17" s="121" t="s">
        <v>166</v>
      </c>
      <c r="AT17" s="121" t="s">
        <v>167</v>
      </c>
      <c r="AU17" s="121" t="s">
        <v>168</v>
      </c>
      <c r="AV17" s="121" t="s">
        <v>17</v>
      </c>
      <c r="AW17" s="121" t="s">
        <v>120</v>
      </c>
      <c r="AX17" s="121" t="s">
        <v>119</v>
      </c>
      <c r="AY17" s="121" t="s">
        <v>137</v>
      </c>
      <c r="AZ17" s="121" t="s">
        <v>118</v>
      </c>
      <c r="BA17" s="121" t="s">
        <v>165</v>
      </c>
      <c r="BB17" s="121" t="s">
        <v>166</v>
      </c>
      <c r="BC17" s="121" t="s">
        <v>167</v>
      </c>
      <c r="BD17" s="121" t="s">
        <v>168</v>
      </c>
      <c r="BE17" s="121" t="s">
        <v>17</v>
      </c>
      <c r="BF17" s="121" t="s">
        <v>120</v>
      </c>
      <c r="BG17" s="121" t="s">
        <v>119</v>
      </c>
      <c r="BH17" s="121" t="s">
        <v>137</v>
      </c>
      <c r="BI17" s="121" t="s">
        <v>118</v>
      </c>
      <c r="BJ17" s="121" t="s">
        <v>165</v>
      </c>
      <c r="BK17" s="121" t="s">
        <v>166</v>
      </c>
      <c r="BL17" s="121" t="s">
        <v>167</v>
      </c>
      <c r="BM17" s="121" t="s">
        <v>168</v>
      </c>
      <c r="BN17" s="121" t="s">
        <v>17</v>
      </c>
      <c r="BO17" s="121" t="s">
        <v>120</v>
      </c>
      <c r="BP17" s="121" t="s">
        <v>119</v>
      </c>
      <c r="BQ17" s="121" t="s">
        <v>137</v>
      </c>
      <c r="BR17" s="121" t="s">
        <v>118</v>
      </c>
      <c r="BS17" s="121" t="s">
        <v>165</v>
      </c>
      <c r="BT17" s="121" t="s">
        <v>166</v>
      </c>
      <c r="BU17" s="121" t="s">
        <v>167</v>
      </c>
      <c r="BV17" s="121" t="s">
        <v>168</v>
      </c>
      <c r="BW17" s="121" t="s">
        <v>17</v>
      </c>
      <c r="BX17" s="83"/>
    </row>
    <row r="18" spans="1:76" ht="18.75" customHeight="1" x14ac:dyDescent="0.35">
      <c r="A18" s="29" t="s">
        <v>92</v>
      </c>
      <c r="B18" s="22" t="s">
        <v>93</v>
      </c>
      <c r="C18" s="23" t="s">
        <v>94</v>
      </c>
      <c r="D18" s="22" t="s">
        <v>95</v>
      </c>
      <c r="E18" s="22" t="s">
        <v>95</v>
      </c>
      <c r="F18" s="22" t="s">
        <v>96</v>
      </c>
      <c r="G18" s="24" t="s">
        <v>97</v>
      </c>
      <c r="H18" s="24" t="s">
        <v>97</v>
      </c>
      <c r="I18" s="24" t="s">
        <v>97</v>
      </c>
      <c r="J18" s="25" t="s">
        <v>98</v>
      </c>
      <c r="K18" s="25" t="s">
        <v>99</v>
      </c>
      <c r="L18" s="26" t="s">
        <v>100</v>
      </c>
      <c r="M18" s="27" t="s">
        <v>100</v>
      </c>
      <c r="N18" s="27" t="s">
        <v>100</v>
      </c>
      <c r="O18" s="25" t="s">
        <v>98</v>
      </c>
      <c r="P18" s="24" t="s">
        <v>97</v>
      </c>
      <c r="Q18" s="24" t="s">
        <v>97</v>
      </c>
      <c r="R18" s="28" t="s">
        <v>101</v>
      </c>
      <c r="S18" s="64" t="s">
        <v>102</v>
      </c>
      <c r="T18" s="64" t="s">
        <v>3</v>
      </c>
      <c r="U18" s="126" t="s">
        <v>189</v>
      </c>
      <c r="V18" s="126" t="s">
        <v>189</v>
      </c>
      <c r="W18" s="126" t="s">
        <v>189</v>
      </c>
      <c r="X18" s="126" t="s">
        <v>189</v>
      </c>
      <c r="Y18" s="126" t="s">
        <v>189</v>
      </c>
      <c r="Z18" s="83" t="s">
        <v>132</v>
      </c>
      <c r="AA18" s="83" t="s">
        <v>95</v>
      </c>
      <c r="AB18" s="83" t="s">
        <v>125</v>
      </c>
      <c r="AC18" s="83" t="s">
        <v>125</v>
      </c>
      <c r="AD18" s="93" t="s">
        <v>89</v>
      </c>
      <c r="AE18" s="94" t="s">
        <v>89</v>
      </c>
      <c r="AF18" s="62" t="s">
        <v>90</v>
      </c>
      <c r="AG18" s="80" t="s">
        <v>90</v>
      </c>
      <c r="AH18" s="63" t="s">
        <v>91</v>
      </c>
      <c r="AI18" s="63" t="s">
        <v>91</v>
      </c>
      <c r="AJ18" s="83" t="s">
        <v>125</v>
      </c>
      <c r="AK18" s="83" t="s">
        <v>125</v>
      </c>
      <c r="AL18" s="93" t="s">
        <v>89</v>
      </c>
      <c r="AM18" s="94" t="s">
        <v>89</v>
      </c>
      <c r="AN18" s="62" t="s">
        <v>90</v>
      </c>
      <c r="AO18" s="80" t="s">
        <v>90</v>
      </c>
      <c r="AP18" s="63" t="s">
        <v>91</v>
      </c>
      <c r="AQ18" s="63" t="s">
        <v>91</v>
      </c>
      <c r="AR18" s="121" t="s">
        <v>125</v>
      </c>
      <c r="AS18" s="121" t="s">
        <v>125</v>
      </c>
      <c r="AT18" s="121" t="s">
        <v>125</v>
      </c>
      <c r="AU18" s="121" t="s">
        <v>125</v>
      </c>
      <c r="AV18" s="121" t="s">
        <v>125</v>
      </c>
      <c r="AW18" s="121" t="s">
        <v>125</v>
      </c>
      <c r="AX18" s="121" t="s">
        <v>125</v>
      </c>
      <c r="AY18" s="121" t="s">
        <v>125</v>
      </c>
      <c r="AZ18" s="121" t="s">
        <v>125</v>
      </c>
      <c r="BA18" s="121" t="s">
        <v>89</v>
      </c>
      <c r="BB18" s="121" t="s">
        <v>89</v>
      </c>
      <c r="BC18" s="121" t="s">
        <v>89</v>
      </c>
      <c r="BD18" s="121" t="s">
        <v>89</v>
      </c>
      <c r="BE18" s="121" t="s">
        <v>89</v>
      </c>
      <c r="BF18" s="121" t="s">
        <v>89</v>
      </c>
      <c r="BG18" s="121" t="s">
        <v>89</v>
      </c>
      <c r="BH18" s="121" t="s">
        <v>89</v>
      </c>
      <c r="BI18" s="121" t="s">
        <v>89</v>
      </c>
      <c r="BJ18" s="121" t="s">
        <v>90</v>
      </c>
      <c r="BK18" s="121" t="s">
        <v>90</v>
      </c>
      <c r="BL18" s="121" t="s">
        <v>90</v>
      </c>
      <c r="BM18" s="121" t="s">
        <v>90</v>
      </c>
      <c r="BN18" s="121" t="s">
        <v>90</v>
      </c>
      <c r="BO18" s="121" t="s">
        <v>90</v>
      </c>
      <c r="BP18" s="121" t="s">
        <v>90</v>
      </c>
      <c r="BQ18" s="121" t="s">
        <v>90</v>
      </c>
      <c r="BR18" s="121" t="s">
        <v>90</v>
      </c>
      <c r="BS18" s="121" t="s">
        <v>91</v>
      </c>
      <c r="BT18" s="121" t="s">
        <v>91</v>
      </c>
      <c r="BU18" s="121" t="s">
        <v>91</v>
      </c>
      <c r="BV18" s="121" t="s">
        <v>91</v>
      </c>
      <c r="BW18" s="121" t="s">
        <v>91</v>
      </c>
      <c r="BX18" s="83" t="s">
        <v>140</v>
      </c>
    </row>
    <row r="19" spans="1:76" ht="18.75" customHeight="1" x14ac:dyDescent="0.35">
      <c r="A19" s="20">
        <v>1</v>
      </c>
      <c r="B19" s="30" t="s">
        <v>24</v>
      </c>
      <c r="C19" s="31" t="s">
        <v>23</v>
      </c>
      <c r="D19" s="32" t="s">
        <v>105</v>
      </c>
      <c r="E19" s="32" t="s">
        <v>105</v>
      </c>
      <c r="F19" s="32" t="s">
        <v>106</v>
      </c>
      <c r="G19" s="33">
        <v>20738.599999999999</v>
      </c>
      <c r="H19" s="33">
        <v>9982</v>
      </c>
      <c r="I19" s="33">
        <f>BX19</f>
        <v>10414.152338832022</v>
      </c>
      <c r="J19" s="34">
        <v>11340000</v>
      </c>
      <c r="K19" s="34">
        <f>J19/I19</f>
        <v>1088.9028344357612</v>
      </c>
      <c r="L19" s="35">
        <f t="shared" ref="L19:L26" si="0">M19/N19</f>
        <v>0.75</v>
      </c>
      <c r="M19" s="36">
        <v>0.37148475749999998</v>
      </c>
      <c r="N19" s="36">
        <v>0.49531301</v>
      </c>
      <c r="O19" s="34">
        <f t="shared" ref="O19:O26" si="1">N19*J19</f>
        <v>5616849.5334000001</v>
      </c>
      <c r="P19" s="33">
        <v>3058</v>
      </c>
      <c r="Q19" s="33">
        <f t="shared" ref="Q19:Q26" si="2">P19-H19</f>
        <v>-6924</v>
      </c>
      <c r="R19" s="33">
        <v>824</v>
      </c>
      <c r="S19" s="32" t="s">
        <v>25</v>
      </c>
      <c r="T19" s="32" t="s">
        <v>128</v>
      </c>
      <c r="U19" s="33" t="s">
        <v>131</v>
      </c>
      <c r="V19" s="33" t="s">
        <v>190</v>
      </c>
      <c r="W19" s="32"/>
      <c r="X19" s="122"/>
      <c r="Y19" s="89">
        <v>44</v>
      </c>
      <c r="Z19" s="110" t="s">
        <v>133</v>
      </c>
      <c r="AA19" s="127" t="s">
        <v>191</v>
      </c>
      <c r="AB19" s="116">
        <v>960823.1</v>
      </c>
      <c r="AC19" s="116">
        <v>832675.54</v>
      </c>
      <c r="AD19" s="117">
        <v>960811.33</v>
      </c>
      <c r="AE19" s="117">
        <v>832375.76</v>
      </c>
      <c r="AF19" s="118">
        <v>960496.75</v>
      </c>
      <c r="AG19" s="118">
        <v>821966.36</v>
      </c>
      <c r="AH19" s="116">
        <v>960499.22</v>
      </c>
      <c r="AI19" s="116">
        <v>821876.24</v>
      </c>
      <c r="AJ19" s="119">
        <v>31.910306609999999</v>
      </c>
      <c r="AK19" s="119">
        <v>-103.67735785000001</v>
      </c>
      <c r="AL19" s="120" t="s">
        <v>141</v>
      </c>
      <c r="AM19" s="120" t="s">
        <v>142</v>
      </c>
      <c r="AN19" s="120" t="s">
        <v>143</v>
      </c>
      <c r="AO19" s="120" t="s">
        <v>144</v>
      </c>
      <c r="AP19" s="119">
        <v>31.883392090000001</v>
      </c>
      <c r="AQ19" s="119">
        <v>-103.68258933</v>
      </c>
      <c r="AR19" s="33" t="s">
        <v>130</v>
      </c>
      <c r="AS19" s="33" t="s">
        <v>129</v>
      </c>
      <c r="AT19" s="32"/>
      <c r="AU19" s="122"/>
      <c r="AV19" s="89">
        <v>41</v>
      </c>
      <c r="AW19" s="101">
        <v>812</v>
      </c>
      <c r="AX19" s="101"/>
      <c r="AY19" s="101">
        <v>2148</v>
      </c>
      <c r="AZ19" s="102"/>
      <c r="BA19" s="33" t="s">
        <v>130</v>
      </c>
      <c r="BB19" s="33" t="s">
        <v>129</v>
      </c>
      <c r="BC19" s="32"/>
      <c r="BD19" s="122"/>
      <c r="BE19" s="89">
        <v>44</v>
      </c>
      <c r="BF19" s="101">
        <v>100</v>
      </c>
      <c r="BG19" s="101"/>
      <c r="BH19" s="101">
        <v>514</v>
      </c>
      <c r="BI19" s="75"/>
      <c r="BJ19" s="33" t="s">
        <v>130</v>
      </c>
      <c r="BK19" s="33" t="s">
        <v>129</v>
      </c>
      <c r="BL19" s="32"/>
      <c r="BM19" s="122"/>
      <c r="BN19" s="89">
        <v>44</v>
      </c>
      <c r="BO19" s="101"/>
      <c r="BP19" s="101">
        <v>100</v>
      </c>
      <c r="BQ19" s="101">
        <v>608</v>
      </c>
      <c r="BR19" s="75"/>
      <c r="BS19" s="33" t="s">
        <v>130</v>
      </c>
      <c r="BT19" s="33" t="s">
        <v>129</v>
      </c>
      <c r="BU19" s="32"/>
      <c r="BV19" s="122"/>
      <c r="BW19" s="89">
        <v>44</v>
      </c>
      <c r="BX19" s="113">
        <f t="shared" ref="BX19:BX26" si="3">((AD19-AF19)^2+(AE19-AG19)^2)^0.5</f>
        <v>10414.152338832022</v>
      </c>
    </row>
    <row r="20" spans="1:76" ht="18.75" customHeight="1" x14ac:dyDescent="0.35">
      <c r="A20" s="20">
        <v>2</v>
      </c>
      <c r="B20" s="30" t="s">
        <v>33</v>
      </c>
      <c r="C20" s="31" t="s">
        <v>32</v>
      </c>
      <c r="D20" s="32" t="s">
        <v>105</v>
      </c>
      <c r="E20" s="32" t="s">
        <v>105</v>
      </c>
      <c r="F20" s="32" t="s">
        <v>106</v>
      </c>
      <c r="G20" s="33">
        <v>20961.599999999999</v>
      </c>
      <c r="H20" s="33">
        <v>10204</v>
      </c>
      <c r="I20" s="33">
        <f t="shared" ref="I20:I26" si="4">BX20</f>
        <v>10414.318683908274</v>
      </c>
      <c r="J20" s="34">
        <v>11340000</v>
      </c>
      <c r="K20" s="34">
        <f t="shared" ref="K20:K26" si="5">J20/I20</f>
        <v>1088.885441687323</v>
      </c>
      <c r="L20" s="35">
        <f t="shared" si="0"/>
        <v>0.75</v>
      </c>
      <c r="M20" s="36">
        <v>0.37148475749999998</v>
      </c>
      <c r="N20" s="36">
        <v>0.49531301</v>
      </c>
      <c r="O20" s="34">
        <f t="shared" si="1"/>
        <v>5616849.5334000001</v>
      </c>
      <c r="P20" s="33">
        <v>3058</v>
      </c>
      <c r="Q20" s="33">
        <f t="shared" si="2"/>
        <v>-7146</v>
      </c>
      <c r="R20" s="33">
        <v>917</v>
      </c>
      <c r="S20" s="32" t="s">
        <v>25</v>
      </c>
      <c r="T20" s="32" t="s">
        <v>128</v>
      </c>
      <c r="U20" s="33" t="s">
        <v>131</v>
      </c>
      <c r="V20" s="33" t="s">
        <v>190</v>
      </c>
      <c r="W20" s="32"/>
      <c r="X20" s="122"/>
      <c r="Y20" s="89">
        <v>44</v>
      </c>
      <c r="Z20" s="32" t="s">
        <v>133</v>
      </c>
      <c r="AA20" s="127" t="s">
        <v>191</v>
      </c>
      <c r="AB20" s="116">
        <v>962446.7</v>
      </c>
      <c r="AC20" s="116">
        <v>831613.03</v>
      </c>
      <c r="AD20" s="117">
        <v>961705</v>
      </c>
      <c r="AE20" s="117">
        <v>832348.3</v>
      </c>
      <c r="AF20" s="118">
        <v>961296.4</v>
      </c>
      <c r="AG20" s="118">
        <v>821942</v>
      </c>
      <c r="AH20" s="116">
        <v>961292.87</v>
      </c>
      <c r="AI20" s="116">
        <v>821851.82</v>
      </c>
      <c r="AJ20" s="119">
        <v>31.910306250000001</v>
      </c>
      <c r="AK20" s="119">
        <v>-103.6772611</v>
      </c>
      <c r="AL20" s="120" t="s">
        <v>145</v>
      </c>
      <c r="AM20" s="120" t="s">
        <v>146</v>
      </c>
      <c r="AN20" s="120" t="s">
        <v>143</v>
      </c>
      <c r="AO20" s="120" t="s">
        <v>147</v>
      </c>
      <c r="AP20" s="119">
        <v>31.883390630000001</v>
      </c>
      <c r="AQ20" s="119">
        <v>-103.68003136999999</v>
      </c>
      <c r="AR20" s="33" t="s">
        <v>130</v>
      </c>
      <c r="AS20" s="33" t="s">
        <v>129</v>
      </c>
      <c r="AT20" s="32"/>
      <c r="AU20" s="122"/>
      <c r="AV20" s="89">
        <v>41</v>
      </c>
      <c r="AW20" s="101">
        <v>812</v>
      </c>
      <c r="AX20" s="101"/>
      <c r="AY20" s="101">
        <v>2178</v>
      </c>
      <c r="AZ20" s="102"/>
      <c r="BA20" s="33" t="s">
        <v>130</v>
      </c>
      <c r="BB20" s="33" t="s">
        <v>129</v>
      </c>
      <c r="BC20" s="32"/>
      <c r="BD20" s="122"/>
      <c r="BE20" s="89">
        <v>44</v>
      </c>
      <c r="BF20" s="101">
        <v>100</v>
      </c>
      <c r="BG20" s="101"/>
      <c r="BH20" s="101">
        <v>1408</v>
      </c>
      <c r="BI20" s="75"/>
      <c r="BJ20" s="33" t="s">
        <v>130</v>
      </c>
      <c r="BK20" s="33" t="s">
        <v>129</v>
      </c>
      <c r="BL20" s="32"/>
      <c r="BM20" s="122"/>
      <c r="BN20" s="89">
        <v>44</v>
      </c>
      <c r="BO20" s="101"/>
      <c r="BP20" s="101">
        <v>100</v>
      </c>
      <c r="BQ20" s="101">
        <v>1408</v>
      </c>
      <c r="BR20" s="75"/>
      <c r="BS20" s="33" t="s">
        <v>130</v>
      </c>
      <c r="BT20" s="33" t="s">
        <v>129</v>
      </c>
      <c r="BU20" s="32"/>
      <c r="BV20" s="122"/>
      <c r="BW20" s="89">
        <v>44</v>
      </c>
      <c r="BX20" s="113">
        <f t="shared" si="3"/>
        <v>10414.318683908274</v>
      </c>
    </row>
    <row r="21" spans="1:76" ht="18.75" customHeight="1" x14ac:dyDescent="0.35">
      <c r="A21" s="20">
        <v>3</v>
      </c>
      <c r="B21" s="30" t="s">
        <v>35</v>
      </c>
      <c r="C21" s="31" t="s">
        <v>34</v>
      </c>
      <c r="D21" s="32" t="s">
        <v>105</v>
      </c>
      <c r="E21" s="32" t="s">
        <v>105</v>
      </c>
      <c r="F21" s="32" t="s">
        <v>106</v>
      </c>
      <c r="G21" s="33">
        <v>20761.599999999999</v>
      </c>
      <c r="H21" s="33">
        <v>10004</v>
      </c>
      <c r="I21" s="33">
        <f t="shared" si="4"/>
        <v>10414.586122189348</v>
      </c>
      <c r="J21" s="34">
        <v>11340000</v>
      </c>
      <c r="K21" s="34">
        <f t="shared" si="5"/>
        <v>1088.8574799759888</v>
      </c>
      <c r="L21" s="35">
        <f t="shared" si="0"/>
        <v>0.75</v>
      </c>
      <c r="M21" s="36">
        <v>0.37148475749999998</v>
      </c>
      <c r="N21" s="36">
        <v>0.49531301</v>
      </c>
      <c r="O21" s="34">
        <f t="shared" si="1"/>
        <v>5616849.5334000001</v>
      </c>
      <c r="P21" s="33">
        <v>3057</v>
      </c>
      <c r="Q21" s="33">
        <f t="shared" si="2"/>
        <v>-6947</v>
      </c>
      <c r="R21" s="33">
        <v>888</v>
      </c>
      <c r="S21" s="32" t="s">
        <v>25</v>
      </c>
      <c r="T21" s="32" t="s">
        <v>128</v>
      </c>
      <c r="U21" s="33" t="s">
        <v>131</v>
      </c>
      <c r="V21" s="33" t="s">
        <v>190</v>
      </c>
      <c r="W21" s="32"/>
      <c r="X21" s="122"/>
      <c r="Y21" s="89">
        <v>44</v>
      </c>
      <c r="Z21" s="32" t="s">
        <v>133</v>
      </c>
      <c r="AA21" s="127" t="s">
        <v>191</v>
      </c>
      <c r="AB21" s="116">
        <v>963129.76</v>
      </c>
      <c r="AC21" s="116">
        <v>831500.12</v>
      </c>
      <c r="AD21" s="117">
        <v>962598.55</v>
      </c>
      <c r="AE21" s="117">
        <v>832320.82</v>
      </c>
      <c r="AF21" s="118">
        <v>962190.01</v>
      </c>
      <c r="AG21" s="118">
        <v>821914.25</v>
      </c>
      <c r="AH21" s="116">
        <v>962186.48</v>
      </c>
      <c r="AI21" s="116">
        <v>821824.31</v>
      </c>
      <c r="AJ21" s="119">
        <v>31.910052440000001</v>
      </c>
      <c r="AK21" s="119">
        <v>-103.67505007</v>
      </c>
      <c r="AL21" s="120" t="s">
        <v>145</v>
      </c>
      <c r="AM21" s="120" t="s">
        <v>148</v>
      </c>
      <c r="AN21" s="120" t="s">
        <v>149</v>
      </c>
      <c r="AO21" s="120" t="s">
        <v>150</v>
      </c>
      <c r="AP21" s="119">
        <v>31.883388920000002</v>
      </c>
      <c r="AQ21" s="119">
        <v>-103.67715124999999</v>
      </c>
      <c r="AR21" s="33" t="s">
        <v>130</v>
      </c>
      <c r="AS21" s="33" t="s">
        <v>129</v>
      </c>
      <c r="AT21" s="32"/>
      <c r="AU21" s="122"/>
      <c r="AV21" s="89">
        <v>41</v>
      </c>
      <c r="AW21" s="101">
        <v>904</v>
      </c>
      <c r="AX21" s="101"/>
      <c r="AY21" s="101"/>
      <c r="AZ21" s="100">
        <v>2445</v>
      </c>
      <c r="BA21" s="33" t="s">
        <v>130</v>
      </c>
      <c r="BB21" s="33" t="s">
        <v>129</v>
      </c>
      <c r="BC21" s="32"/>
      <c r="BD21" s="122"/>
      <c r="BE21" s="89">
        <v>44</v>
      </c>
      <c r="BF21" s="101">
        <v>100</v>
      </c>
      <c r="BG21" s="101"/>
      <c r="BH21" s="101">
        <v>2302</v>
      </c>
      <c r="BJ21" s="33" t="s">
        <v>130</v>
      </c>
      <c r="BK21" s="33" t="s">
        <v>129</v>
      </c>
      <c r="BL21" s="32"/>
      <c r="BM21" s="122"/>
      <c r="BN21" s="89">
        <v>44</v>
      </c>
      <c r="BO21" s="101"/>
      <c r="BP21" s="101">
        <v>100</v>
      </c>
      <c r="BQ21" s="101">
        <v>2302</v>
      </c>
      <c r="BS21" s="33" t="s">
        <v>130</v>
      </c>
      <c r="BT21" s="33" t="s">
        <v>129</v>
      </c>
      <c r="BU21" s="32"/>
      <c r="BV21" s="122"/>
      <c r="BW21" s="89">
        <v>44</v>
      </c>
      <c r="BX21" s="113">
        <f t="shared" si="3"/>
        <v>10414.586122189348</v>
      </c>
    </row>
    <row r="22" spans="1:76" ht="18.75" customHeight="1" x14ac:dyDescent="0.35">
      <c r="A22" s="20">
        <v>4</v>
      </c>
      <c r="B22" s="30" t="s">
        <v>37</v>
      </c>
      <c r="C22" s="31" t="s">
        <v>36</v>
      </c>
      <c r="D22" s="32" t="s">
        <v>105</v>
      </c>
      <c r="E22" s="32" t="s">
        <v>105</v>
      </c>
      <c r="F22" s="32" t="s">
        <v>106</v>
      </c>
      <c r="G22" s="33">
        <v>20981.599999999999</v>
      </c>
      <c r="H22" s="33">
        <v>10224</v>
      </c>
      <c r="I22" s="33">
        <f t="shared" si="4"/>
        <v>10414.53848930912</v>
      </c>
      <c r="J22" s="34">
        <v>11340000</v>
      </c>
      <c r="K22" s="34">
        <f t="shared" si="5"/>
        <v>1088.8624600735691</v>
      </c>
      <c r="L22" s="35">
        <f t="shared" si="0"/>
        <v>0.75</v>
      </c>
      <c r="M22" s="36">
        <v>0.37148475749999998</v>
      </c>
      <c r="N22" s="36">
        <v>0.49531301</v>
      </c>
      <c r="O22" s="34">
        <f t="shared" si="1"/>
        <v>5616849.5334000001</v>
      </c>
      <c r="P22" s="33">
        <v>3056</v>
      </c>
      <c r="Q22" s="33">
        <f t="shared" si="2"/>
        <v>-7168</v>
      </c>
      <c r="R22" s="33">
        <v>914</v>
      </c>
      <c r="S22" s="32" t="s">
        <v>25</v>
      </c>
      <c r="T22" s="32" t="s">
        <v>128</v>
      </c>
      <c r="U22" s="33" t="s">
        <v>131</v>
      </c>
      <c r="V22" s="33" t="s">
        <v>190</v>
      </c>
      <c r="W22" s="32"/>
      <c r="X22" s="122"/>
      <c r="Y22" s="89">
        <v>44</v>
      </c>
      <c r="Z22" s="32" t="s">
        <v>133</v>
      </c>
      <c r="AA22" s="127" t="s">
        <v>191</v>
      </c>
      <c r="AB22" s="116">
        <v>963159.8</v>
      </c>
      <c r="AC22" s="116">
        <v>831499.16</v>
      </c>
      <c r="AD22" s="114">
        <v>963487.37</v>
      </c>
      <c r="AE22" s="114">
        <v>832293.5</v>
      </c>
      <c r="AF22" s="115">
        <v>963089.35</v>
      </c>
      <c r="AG22" s="115">
        <v>821886.57</v>
      </c>
      <c r="AH22" s="116">
        <v>963085.91</v>
      </c>
      <c r="AI22" s="116">
        <v>821796.63</v>
      </c>
      <c r="AJ22" s="119">
        <v>31.910052270000001</v>
      </c>
      <c r="AK22" s="119">
        <v>-103.67495323</v>
      </c>
      <c r="AL22" s="120" t="s">
        <v>151</v>
      </c>
      <c r="AM22" s="120" t="s">
        <v>152</v>
      </c>
      <c r="AN22" s="120" t="s">
        <v>153</v>
      </c>
      <c r="AO22" s="120" t="s">
        <v>154</v>
      </c>
      <c r="AP22" s="119">
        <v>31.88338714</v>
      </c>
      <c r="AQ22" s="119">
        <v>-103.67425237</v>
      </c>
      <c r="AR22" s="33" t="s">
        <v>130</v>
      </c>
      <c r="AS22" s="33" t="s">
        <v>129</v>
      </c>
      <c r="AT22" s="32"/>
      <c r="AU22" s="122"/>
      <c r="AV22" s="89">
        <v>41</v>
      </c>
      <c r="AW22" s="101">
        <v>904</v>
      </c>
      <c r="AX22" s="101"/>
      <c r="AY22" s="101"/>
      <c r="AZ22" s="102">
        <v>2415</v>
      </c>
      <c r="BA22" s="33" t="s">
        <v>130</v>
      </c>
      <c r="BB22" s="33" t="s">
        <v>129</v>
      </c>
      <c r="BC22" s="32"/>
      <c r="BD22" s="122"/>
      <c r="BE22" s="89">
        <v>44</v>
      </c>
      <c r="BF22" s="101">
        <v>100</v>
      </c>
      <c r="BG22" s="101"/>
      <c r="BH22" s="75"/>
      <c r="BI22" s="101">
        <v>2118</v>
      </c>
      <c r="BJ22" s="33" t="s">
        <v>130</v>
      </c>
      <c r="BK22" s="33" t="s">
        <v>129</v>
      </c>
      <c r="BL22" s="32"/>
      <c r="BM22" s="122"/>
      <c r="BN22" s="89">
        <v>44</v>
      </c>
      <c r="BO22" s="101"/>
      <c r="BP22" s="101">
        <v>100</v>
      </c>
      <c r="BQ22" s="75"/>
      <c r="BR22" s="101">
        <v>2118</v>
      </c>
      <c r="BS22" s="33" t="s">
        <v>130</v>
      </c>
      <c r="BT22" s="33" t="s">
        <v>129</v>
      </c>
      <c r="BU22" s="32"/>
      <c r="BV22" s="122"/>
      <c r="BW22" s="89">
        <v>44</v>
      </c>
      <c r="BX22" s="113">
        <f t="shared" si="3"/>
        <v>10414.53848930912</v>
      </c>
    </row>
    <row r="23" spans="1:76" ht="18.75" customHeight="1" x14ac:dyDescent="0.35">
      <c r="A23" s="20">
        <v>5</v>
      </c>
      <c r="B23" s="30" t="s">
        <v>39</v>
      </c>
      <c r="C23" s="31" t="s">
        <v>38</v>
      </c>
      <c r="D23" s="32" t="s">
        <v>105</v>
      </c>
      <c r="E23" s="32" t="s">
        <v>105</v>
      </c>
      <c r="F23" s="32" t="s">
        <v>106</v>
      </c>
      <c r="G23" s="33">
        <v>20767.599999999999</v>
      </c>
      <c r="H23" s="33">
        <v>10010</v>
      </c>
      <c r="I23" s="33">
        <f t="shared" si="4"/>
        <v>10414.568467392284</v>
      </c>
      <c r="J23" s="34">
        <v>11340000</v>
      </c>
      <c r="K23" s="34">
        <f t="shared" si="5"/>
        <v>1088.8593258093424</v>
      </c>
      <c r="L23" s="35">
        <f t="shared" si="0"/>
        <v>0.75</v>
      </c>
      <c r="M23" s="36">
        <v>0.37148475749999998</v>
      </c>
      <c r="N23" s="36">
        <v>0.49531301</v>
      </c>
      <c r="O23" s="34">
        <f t="shared" si="1"/>
        <v>5616849.5334000001</v>
      </c>
      <c r="P23" s="33">
        <v>3035</v>
      </c>
      <c r="Q23" s="33">
        <f t="shared" si="2"/>
        <v>-6975</v>
      </c>
      <c r="R23" s="33">
        <v>928</v>
      </c>
      <c r="S23" s="32" t="s">
        <v>25</v>
      </c>
      <c r="T23" s="32" t="s">
        <v>128</v>
      </c>
      <c r="U23" s="33" t="s">
        <v>131</v>
      </c>
      <c r="V23" s="33" t="s">
        <v>190</v>
      </c>
      <c r="W23" s="32"/>
      <c r="X23" s="122"/>
      <c r="Y23" s="89">
        <v>44</v>
      </c>
      <c r="Z23" s="32" t="s">
        <v>133</v>
      </c>
      <c r="AA23" s="127" t="s">
        <v>191</v>
      </c>
      <c r="AB23" s="116">
        <v>964384.15</v>
      </c>
      <c r="AC23" s="116">
        <v>831616.58</v>
      </c>
      <c r="AD23" s="114">
        <v>964380.97</v>
      </c>
      <c r="AE23" s="114">
        <v>832266.03</v>
      </c>
      <c r="AF23" s="115">
        <v>963982.95</v>
      </c>
      <c r="AG23" s="115">
        <v>821859.07</v>
      </c>
      <c r="AH23" s="116">
        <v>963979.51</v>
      </c>
      <c r="AI23" s="116">
        <v>821769.13</v>
      </c>
      <c r="AJ23" s="119">
        <v>31.910475940000001</v>
      </c>
      <c r="AK23" s="119">
        <v>-103.671021</v>
      </c>
      <c r="AL23" s="120" t="s">
        <v>151</v>
      </c>
      <c r="AM23" s="120" t="s">
        <v>155</v>
      </c>
      <c r="AN23" s="120" t="s">
        <v>153</v>
      </c>
      <c r="AO23" s="120" t="s">
        <v>156</v>
      </c>
      <c r="AP23" s="119">
        <v>31.8833853</v>
      </c>
      <c r="AQ23" s="119">
        <v>-103.67137227000001</v>
      </c>
      <c r="AR23" s="33" t="s">
        <v>130</v>
      </c>
      <c r="AS23" s="33" t="s">
        <v>129</v>
      </c>
      <c r="AT23" s="32"/>
      <c r="AU23" s="122"/>
      <c r="AV23" s="89">
        <v>41</v>
      </c>
      <c r="AW23" s="101">
        <v>749</v>
      </c>
      <c r="AX23" s="101"/>
      <c r="AY23" s="101"/>
      <c r="AZ23" s="102">
        <v>1196</v>
      </c>
      <c r="BA23" s="33" t="s">
        <v>130</v>
      </c>
      <c r="BB23" s="33" t="s">
        <v>129</v>
      </c>
      <c r="BC23" s="32"/>
      <c r="BD23" s="122"/>
      <c r="BE23" s="89">
        <v>44</v>
      </c>
      <c r="BF23" s="101">
        <v>100</v>
      </c>
      <c r="BG23" s="101"/>
      <c r="BH23" s="75"/>
      <c r="BI23" s="101">
        <v>1224</v>
      </c>
      <c r="BJ23" s="33" t="s">
        <v>130</v>
      </c>
      <c r="BK23" s="33" t="s">
        <v>129</v>
      </c>
      <c r="BL23" s="32"/>
      <c r="BM23" s="122"/>
      <c r="BN23" s="89">
        <v>44</v>
      </c>
      <c r="BO23" s="101"/>
      <c r="BP23" s="101">
        <v>100</v>
      </c>
      <c r="BQ23" s="75"/>
      <c r="BR23" s="101">
        <v>1224</v>
      </c>
      <c r="BS23" s="33" t="s">
        <v>130</v>
      </c>
      <c r="BT23" s="33" t="s">
        <v>129</v>
      </c>
      <c r="BU23" s="32"/>
      <c r="BV23" s="122"/>
      <c r="BW23" s="89">
        <v>44</v>
      </c>
      <c r="BX23" s="113">
        <f t="shared" si="3"/>
        <v>10414.568467392284</v>
      </c>
    </row>
    <row r="24" spans="1:76" ht="18.75" customHeight="1" x14ac:dyDescent="0.35">
      <c r="A24" s="20">
        <v>6</v>
      </c>
      <c r="B24" s="30" t="s">
        <v>41</v>
      </c>
      <c r="C24" s="31" t="s">
        <v>40</v>
      </c>
      <c r="D24" s="32" t="s">
        <v>105</v>
      </c>
      <c r="E24" s="32" t="s">
        <v>105</v>
      </c>
      <c r="F24" s="32" t="s">
        <v>106</v>
      </c>
      <c r="G24" s="33">
        <v>20997.599999999999</v>
      </c>
      <c r="H24" s="33">
        <v>10241</v>
      </c>
      <c r="I24" s="33">
        <f t="shared" si="4"/>
        <v>10414.32642701875</v>
      </c>
      <c r="J24" s="34">
        <v>11340000</v>
      </c>
      <c r="K24" s="34">
        <f t="shared" si="5"/>
        <v>1088.8846320948514</v>
      </c>
      <c r="L24" s="35">
        <f t="shared" si="0"/>
        <v>0.75</v>
      </c>
      <c r="M24" s="36">
        <v>0.37148475749999998</v>
      </c>
      <c r="N24" s="36">
        <v>0.49531301</v>
      </c>
      <c r="O24" s="34">
        <f t="shared" si="1"/>
        <v>5616849.5334000001</v>
      </c>
      <c r="P24" s="33">
        <v>3035</v>
      </c>
      <c r="Q24" s="33">
        <f t="shared" si="2"/>
        <v>-7206</v>
      </c>
      <c r="R24" s="33">
        <v>928</v>
      </c>
      <c r="S24" s="32" t="s">
        <v>25</v>
      </c>
      <c r="T24" s="32" t="s">
        <v>128</v>
      </c>
      <c r="U24" s="33" t="s">
        <v>131</v>
      </c>
      <c r="V24" s="33" t="s">
        <v>190</v>
      </c>
      <c r="W24" s="32"/>
      <c r="X24" s="122"/>
      <c r="Y24" s="89">
        <v>44</v>
      </c>
      <c r="Z24" s="32" t="s">
        <v>133</v>
      </c>
      <c r="AA24" s="127" t="s">
        <v>191</v>
      </c>
      <c r="AB24" s="116">
        <v>964414.12</v>
      </c>
      <c r="AC24" s="116">
        <v>831615.71</v>
      </c>
      <c r="AD24" s="114">
        <v>965174.62</v>
      </c>
      <c r="AE24" s="114">
        <v>832241.63</v>
      </c>
      <c r="AF24" s="115">
        <v>964876.55</v>
      </c>
      <c r="AG24" s="115">
        <v>821831.57</v>
      </c>
      <c r="AH24" s="116">
        <v>964873.11</v>
      </c>
      <c r="AI24" s="116">
        <v>821741.63</v>
      </c>
      <c r="AJ24" s="119">
        <v>31.91047601</v>
      </c>
      <c r="AK24" s="119">
        <v>-103.6709244</v>
      </c>
      <c r="AL24" s="120" t="s">
        <v>157</v>
      </c>
      <c r="AM24" s="120" t="s">
        <v>158</v>
      </c>
      <c r="AN24" s="120" t="s">
        <v>159</v>
      </c>
      <c r="AO24" s="120" t="s">
        <v>160</v>
      </c>
      <c r="AP24" s="119">
        <v>31.88338341</v>
      </c>
      <c r="AQ24" s="119">
        <v>-103.66849218</v>
      </c>
      <c r="AR24" s="33" t="s">
        <v>130</v>
      </c>
      <c r="AS24" s="33" t="s">
        <v>129</v>
      </c>
      <c r="AT24" s="32"/>
      <c r="AU24" s="122"/>
      <c r="AV24" s="89">
        <v>41</v>
      </c>
      <c r="AW24" s="101">
        <v>749</v>
      </c>
      <c r="AX24" s="101"/>
      <c r="AY24" s="101"/>
      <c r="AZ24" s="102">
        <v>1166</v>
      </c>
      <c r="BA24" s="33" t="s">
        <v>130</v>
      </c>
      <c r="BB24" s="33" t="s">
        <v>129</v>
      </c>
      <c r="BC24" s="32"/>
      <c r="BD24" s="122"/>
      <c r="BE24" s="89">
        <v>44</v>
      </c>
      <c r="BF24" s="101">
        <v>100</v>
      </c>
      <c r="BG24" s="101"/>
      <c r="BH24" s="75"/>
      <c r="BI24" s="101">
        <v>430</v>
      </c>
      <c r="BJ24" s="33" t="s">
        <v>130</v>
      </c>
      <c r="BK24" s="33" t="s">
        <v>129</v>
      </c>
      <c r="BL24" s="32"/>
      <c r="BM24" s="122"/>
      <c r="BN24" s="89">
        <v>44</v>
      </c>
      <c r="BO24" s="101"/>
      <c r="BP24" s="101">
        <v>100</v>
      </c>
      <c r="BQ24" s="101"/>
      <c r="BR24" s="101">
        <v>330</v>
      </c>
      <c r="BS24" s="33" t="s">
        <v>130</v>
      </c>
      <c r="BT24" s="33" t="s">
        <v>129</v>
      </c>
      <c r="BU24" s="32"/>
      <c r="BV24" s="122"/>
      <c r="BW24" s="89">
        <v>44</v>
      </c>
      <c r="BX24" s="113">
        <f t="shared" si="3"/>
        <v>10414.32642701875</v>
      </c>
    </row>
    <row r="25" spans="1:76" ht="18.75" customHeight="1" x14ac:dyDescent="0.35">
      <c r="A25" s="20">
        <v>7</v>
      </c>
      <c r="B25" s="30" t="s">
        <v>43</v>
      </c>
      <c r="C25" s="31" t="s">
        <v>42</v>
      </c>
      <c r="D25" s="32" t="s">
        <v>107</v>
      </c>
      <c r="E25" s="32" t="s">
        <v>108</v>
      </c>
      <c r="F25" s="32" t="s">
        <v>106</v>
      </c>
      <c r="G25" s="33">
        <v>21488.6</v>
      </c>
      <c r="H25" s="33">
        <v>10731</v>
      </c>
      <c r="I25" s="33">
        <f t="shared" si="4"/>
        <v>10414.576129886478</v>
      </c>
      <c r="J25" s="34">
        <v>11777000</v>
      </c>
      <c r="K25" s="34">
        <f t="shared" si="5"/>
        <v>1130.8189457853982</v>
      </c>
      <c r="L25" s="35">
        <f t="shared" si="0"/>
        <v>0.75</v>
      </c>
      <c r="M25" s="36">
        <v>0.37148475749999998</v>
      </c>
      <c r="N25" s="36">
        <v>0.49531301</v>
      </c>
      <c r="O25" s="34">
        <f t="shared" si="1"/>
        <v>5833301.3187699998</v>
      </c>
      <c r="P25" s="33">
        <v>3059</v>
      </c>
      <c r="Q25" s="33">
        <f t="shared" si="2"/>
        <v>-7672</v>
      </c>
      <c r="R25" s="33">
        <v>1754</v>
      </c>
      <c r="S25" s="32" t="s">
        <v>25</v>
      </c>
      <c r="T25" s="32" t="s">
        <v>128</v>
      </c>
      <c r="U25" s="33" t="s">
        <v>131</v>
      </c>
      <c r="V25" s="33" t="s">
        <v>190</v>
      </c>
      <c r="W25" s="32"/>
      <c r="X25" s="122"/>
      <c r="Y25" s="89">
        <v>44</v>
      </c>
      <c r="Z25" s="32" t="s">
        <v>133</v>
      </c>
      <c r="AA25" s="127" t="s">
        <v>191</v>
      </c>
      <c r="AB25" s="116">
        <v>962476.66</v>
      </c>
      <c r="AC25" s="116">
        <v>831612.15</v>
      </c>
      <c r="AD25" s="114">
        <v>962151.75</v>
      </c>
      <c r="AE25" s="114">
        <v>832334.56</v>
      </c>
      <c r="AF25" s="115">
        <v>961743.21</v>
      </c>
      <c r="AG25" s="115">
        <v>821928</v>
      </c>
      <c r="AH25" s="116">
        <v>961739.68</v>
      </c>
      <c r="AI25" s="116">
        <v>821838.07</v>
      </c>
      <c r="AJ25" s="119">
        <v>31.910306309999999</v>
      </c>
      <c r="AK25" s="119">
        <v>-103.67716452000001</v>
      </c>
      <c r="AL25" s="120" t="s">
        <v>145</v>
      </c>
      <c r="AM25" s="120" t="s">
        <v>161</v>
      </c>
      <c r="AN25" s="120" t="s">
        <v>149</v>
      </c>
      <c r="AO25" s="120" t="s">
        <v>162</v>
      </c>
      <c r="AP25" s="119">
        <v>31.883389780000002</v>
      </c>
      <c r="AQ25" s="119">
        <v>-103.67859131</v>
      </c>
      <c r="AR25" s="33" t="s">
        <v>130</v>
      </c>
      <c r="AS25" s="33" t="s">
        <v>129</v>
      </c>
      <c r="AT25" s="32"/>
      <c r="AU25" s="122"/>
      <c r="AV25" s="89">
        <v>41</v>
      </c>
      <c r="AW25" s="101">
        <v>812</v>
      </c>
      <c r="AX25" s="101"/>
      <c r="AY25" s="101">
        <v>2208</v>
      </c>
      <c r="AZ25" s="102"/>
      <c r="BA25" s="33" t="s">
        <v>130</v>
      </c>
      <c r="BB25" s="33" t="s">
        <v>129</v>
      </c>
      <c r="BC25" s="32"/>
      <c r="BD25" s="122"/>
      <c r="BE25" s="89">
        <v>44</v>
      </c>
      <c r="BF25" s="101">
        <v>100</v>
      </c>
      <c r="BG25" s="101"/>
      <c r="BH25" s="101">
        <v>1855</v>
      </c>
      <c r="BI25" s="102"/>
      <c r="BJ25" s="33" t="s">
        <v>130</v>
      </c>
      <c r="BK25" s="33" t="s">
        <v>129</v>
      </c>
      <c r="BL25" s="32"/>
      <c r="BM25" s="122"/>
      <c r="BN25" s="89">
        <v>44</v>
      </c>
      <c r="BO25" s="101"/>
      <c r="BP25" s="101">
        <v>100</v>
      </c>
      <c r="BQ25" s="101">
        <v>1855</v>
      </c>
      <c r="BR25" s="101"/>
      <c r="BS25" s="33" t="s">
        <v>130</v>
      </c>
      <c r="BT25" s="33" t="s">
        <v>129</v>
      </c>
      <c r="BU25" s="32"/>
      <c r="BV25" s="122"/>
      <c r="BW25" s="89">
        <v>44</v>
      </c>
      <c r="BX25" s="113">
        <f t="shared" si="3"/>
        <v>10414.576129886478</v>
      </c>
    </row>
    <row r="26" spans="1:76" ht="18.75" customHeight="1" x14ac:dyDescent="0.35">
      <c r="A26" s="20">
        <v>8</v>
      </c>
      <c r="B26" s="30" t="s">
        <v>46</v>
      </c>
      <c r="C26" s="31" t="s">
        <v>45</v>
      </c>
      <c r="D26" s="32" t="s">
        <v>107</v>
      </c>
      <c r="E26" s="32" t="s">
        <v>108</v>
      </c>
      <c r="F26" s="32" t="s">
        <v>106</v>
      </c>
      <c r="G26" s="33">
        <v>21496.6</v>
      </c>
      <c r="H26" s="33">
        <v>10739</v>
      </c>
      <c r="I26" s="33">
        <f t="shared" si="4"/>
        <v>10414.548482003494</v>
      </c>
      <c r="J26" s="34">
        <v>11777000</v>
      </c>
      <c r="K26" s="34">
        <f t="shared" si="5"/>
        <v>1130.8219478118369</v>
      </c>
      <c r="L26" s="35">
        <f t="shared" si="0"/>
        <v>0.75</v>
      </c>
      <c r="M26" s="36">
        <v>0.37148475749999998</v>
      </c>
      <c r="N26" s="36">
        <v>0.49531301</v>
      </c>
      <c r="O26" s="34">
        <f t="shared" si="1"/>
        <v>5833301.3187699998</v>
      </c>
      <c r="P26" s="33">
        <v>3035</v>
      </c>
      <c r="Q26" s="33">
        <f t="shared" si="2"/>
        <v>-7704</v>
      </c>
      <c r="R26" s="33">
        <v>1754</v>
      </c>
      <c r="S26" s="32" t="s">
        <v>25</v>
      </c>
      <c r="T26" s="32" t="s">
        <v>128</v>
      </c>
      <c r="U26" s="33" t="s">
        <v>131</v>
      </c>
      <c r="V26" s="33" t="s">
        <v>190</v>
      </c>
      <c r="W26" s="32"/>
      <c r="X26" s="122"/>
      <c r="Y26" s="89">
        <v>44</v>
      </c>
      <c r="Z26" s="32" t="s">
        <v>133</v>
      </c>
      <c r="AA26" s="127" t="s">
        <v>191</v>
      </c>
      <c r="AB26" s="116">
        <v>964354.17</v>
      </c>
      <c r="AC26" s="116">
        <v>831617.56</v>
      </c>
      <c r="AD26" s="114">
        <v>963934.17</v>
      </c>
      <c r="AE26" s="114">
        <v>832279.76</v>
      </c>
      <c r="AF26" s="115">
        <v>963536.15</v>
      </c>
      <c r="AG26" s="115">
        <v>821872.82</v>
      </c>
      <c r="AH26" s="116">
        <v>963532.71</v>
      </c>
      <c r="AI26" s="116">
        <v>821782.88</v>
      </c>
      <c r="AJ26" s="119">
        <v>31.910476150000001</v>
      </c>
      <c r="AK26" s="119">
        <v>-103.67111765999999</v>
      </c>
      <c r="AL26" s="120" t="s">
        <v>151</v>
      </c>
      <c r="AM26" s="120" t="s">
        <v>163</v>
      </c>
      <c r="AN26" s="120" t="s">
        <v>153</v>
      </c>
      <c r="AO26" s="120" t="s">
        <v>164</v>
      </c>
      <c r="AP26" s="119">
        <v>31.883386229999999</v>
      </c>
      <c r="AQ26" s="119">
        <v>-103.67281232000001</v>
      </c>
      <c r="AR26" s="33" t="s">
        <v>130</v>
      </c>
      <c r="AS26" s="33" t="s">
        <v>129</v>
      </c>
      <c r="AT26" s="32"/>
      <c r="AU26" s="122"/>
      <c r="AV26" s="89">
        <v>41</v>
      </c>
      <c r="AW26" s="101">
        <v>749</v>
      </c>
      <c r="AX26" s="101"/>
      <c r="AY26" s="101"/>
      <c r="AZ26" s="102">
        <v>1226</v>
      </c>
      <c r="BA26" s="33" t="s">
        <v>130</v>
      </c>
      <c r="BB26" s="33" t="s">
        <v>129</v>
      </c>
      <c r="BC26" s="32"/>
      <c r="BD26" s="122"/>
      <c r="BE26" s="89">
        <v>44</v>
      </c>
      <c r="BF26" s="101">
        <v>100</v>
      </c>
      <c r="BG26" s="101"/>
      <c r="BH26" s="101"/>
      <c r="BI26" s="102">
        <v>1671</v>
      </c>
      <c r="BJ26" s="33" t="s">
        <v>130</v>
      </c>
      <c r="BK26" s="33" t="s">
        <v>129</v>
      </c>
      <c r="BL26" s="32"/>
      <c r="BM26" s="122"/>
      <c r="BN26" s="89">
        <v>44</v>
      </c>
      <c r="BO26" s="101"/>
      <c r="BP26" s="101">
        <v>100</v>
      </c>
      <c r="BQ26" s="101"/>
      <c r="BR26" s="101">
        <v>1671</v>
      </c>
      <c r="BS26" s="33" t="s">
        <v>130</v>
      </c>
      <c r="BT26" s="33" t="s">
        <v>129</v>
      </c>
      <c r="BU26" s="32"/>
      <c r="BV26" s="122"/>
      <c r="BW26" s="89">
        <v>44</v>
      </c>
      <c r="BX26" s="113">
        <f t="shared" si="3"/>
        <v>10414.548482003494</v>
      </c>
    </row>
    <row r="27" spans="1:76" ht="18.75" customHeight="1" x14ac:dyDescent="0.35">
      <c r="A27" s="20"/>
      <c r="B27" s="32"/>
      <c r="C27" s="37"/>
      <c r="D27" s="32"/>
      <c r="E27" s="33"/>
      <c r="F27" s="32"/>
      <c r="G27" s="33"/>
      <c r="H27" s="33"/>
      <c r="I27" s="33"/>
      <c r="J27" s="38">
        <f>SUM(J19:J26)</f>
        <v>91594000</v>
      </c>
      <c r="K27" s="38"/>
      <c r="L27" s="39"/>
      <c r="M27" s="39"/>
      <c r="N27" s="39"/>
      <c r="O27" s="38">
        <f>SUM(O19:O26)</f>
        <v>45367699.83794</v>
      </c>
      <c r="P27" s="33"/>
      <c r="Q27" s="33"/>
      <c r="R27" s="33"/>
      <c r="S27" s="33"/>
      <c r="T27" s="33"/>
      <c r="U27" s="33"/>
      <c r="V27" s="33"/>
      <c r="W27" s="33"/>
      <c r="X27" s="89"/>
      <c r="Y27" s="89"/>
      <c r="Z27" s="33"/>
      <c r="AA27" s="33"/>
      <c r="AB27" s="90"/>
      <c r="AC27" s="82"/>
      <c r="AD27" s="82"/>
      <c r="AE27" s="82"/>
      <c r="AF27" s="33"/>
      <c r="AG27" s="33"/>
      <c r="AH27" s="33"/>
      <c r="AI27" s="33"/>
      <c r="AJ27" s="90"/>
      <c r="AK27" s="82"/>
      <c r="AL27" s="82"/>
      <c r="AM27" s="82"/>
      <c r="AN27" s="33"/>
      <c r="AO27" s="33"/>
      <c r="AP27" s="33"/>
      <c r="AQ27" s="89"/>
      <c r="AR27" s="33"/>
      <c r="AS27" s="33"/>
      <c r="AT27" s="33"/>
      <c r="AU27" s="89"/>
      <c r="AV27" s="89"/>
      <c r="AW27" s="89"/>
      <c r="AX27" s="89"/>
      <c r="AY27" s="89"/>
      <c r="AZ27" s="89"/>
      <c r="BA27" s="33"/>
      <c r="BB27" s="33"/>
      <c r="BC27" s="33"/>
      <c r="BD27" s="89"/>
      <c r="BE27" s="89"/>
      <c r="BF27" s="89"/>
      <c r="BG27" s="89"/>
      <c r="BH27" s="89"/>
      <c r="BI27" s="89"/>
      <c r="BJ27" s="33"/>
      <c r="BK27" s="33"/>
      <c r="BL27" s="33"/>
      <c r="BM27" s="89"/>
      <c r="BN27" s="89"/>
      <c r="BO27" s="89"/>
      <c r="BP27" s="89"/>
      <c r="BQ27" s="89"/>
      <c r="BR27" s="89"/>
      <c r="BS27" s="33"/>
      <c r="BT27" s="33"/>
      <c r="BU27" s="33"/>
      <c r="BV27" s="89"/>
      <c r="BW27" s="89"/>
      <c r="BX27" s="111"/>
    </row>
    <row r="28" spans="1:76" ht="18.75" customHeight="1" x14ac:dyDescent="0.35">
      <c r="A28" s="40"/>
      <c r="B28" s="41"/>
      <c r="C28" s="42"/>
      <c r="D28" s="41"/>
      <c r="E28" s="41"/>
      <c r="F28" s="41"/>
      <c r="G28" s="43"/>
      <c r="H28" s="44"/>
      <c r="I28" s="45" t="s">
        <v>109</v>
      </c>
      <c r="J28" s="46"/>
      <c r="K28" s="124" t="s">
        <v>177</v>
      </c>
      <c r="L28" s="47"/>
      <c r="M28" s="47"/>
      <c r="N28" s="46"/>
      <c r="O28" s="124" t="s">
        <v>177</v>
      </c>
      <c r="P28" s="44"/>
      <c r="Q28" s="124" t="s">
        <v>177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</row>
    <row r="29" spans="1:76" x14ac:dyDescent="0.35">
      <c r="A29" s="2" t="s">
        <v>178</v>
      </c>
      <c r="B29" s="1" t="s">
        <v>179</v>
      </c>
      <c r="C29" s="3" t="s">
        <v>181</v>
      </c>
      <c r="E29" s="1" t="s">
        <v>180</v>
      </c>
      <c r="F29" s="1" t="s">
        <v>181</v>
      </c>
      <c r="G29" s="2" t="s">
        <v>181</v>
      </c>
      <c r="H29" s="2" t="s">
        <v>179</v>
      </c>
      <c r="I29" s="2" t="s">
        <v>179</v>
      </c>
      <c r="J29" s="4" t="s">
        <v>179</v>
      </c>
      <c r="L29" s="4" t="s">
        <v>179</v>
      </c>
      <c r="M29" s="4" t="s">
        <v>179</v>
      </c>
      <c r="N29" s="4" t="s">
        <v>179</v>
      </c>
      <c r="O29" s="4" t="s">
        <v>179</v>
      </c>
      <c r="P29" s="4" t="s">
        <v>179</v>
      </c>
      <c r="Q29" s="4" t="s">
        <v>179</v>
      </c>
      <c r="R29" s="2" t="s">
        <v>181</v>
      </c>
      <c r="S29" s="2" t="s">
        <v>182</v>
      </c>
      <c r="T29" s="2" t="s">
        <v>183</v>
      </c>
      <c r="Z29" s="2" t="s">
        <v>184</v>
      </c>
      <c r="AB29" s="2" t="s">
        <v>184</v>
      </c>
      <c r="AC29" s="2" t="s">
        <v>184</v>
      </c>
      <c r="AD29" s="2" t="s">
        <v>184</v>
      </c>
      <c r="AE29" s="2" t="s">
        <v>184</v>
      </c>
      <c r="AF29" s="2" t="s">
        <v>184</v>
      </c>
      <c r="AG29" s="2" t="s">
        <v>184</v>
      </c>
      <c r="AH29" s="2" t="s">
        <v>184</v>
      </c>
      <c r="AI29" s="2" t="s">
        <v>184</v>
      </c>
      <c r="AJ29" s="2" t="s">
        <v>184</v>
      </c>
      <c r="AK29" s="2" t="s">
        <v>184</v>
      </c>
    </row>
    <row r="30" spans="1:76" x14ac:dyDescent="0.35">
      <c r="Z30" s="125" t="s">
        <v>185</v>
      </c>
      <c r="AA30" s="125"/>
    </row>
  </sheetData>
  <mergeCells count="4">
    <mergeCell ref="C4:G4"/>
    <mergeCell ref="C5:D5"/>
    <mergeCell ref="C6:D6"/>
    <mergeCell ref="C12:G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DAE3-BAC1-4129-AE9C-3928E170C845}">
  <sheetPr>
    <outlinePr summaryBelow="0"/>
  </sheetPr>
  <dimension ref="A1:BW30"/>
  <sheetViews>
    <sheetView topLeftCell="N8" workbookViewId="0">
      <selection activeCell="AH24" sqref="AH24"/>
    </sheetView>
  </sheetViews>
  <sheetFormatPr defaultRowHeight="14.5" x14ac:dyDescent="0.35"/>
  <cols>
    <col min="1" max="1" width="17.1796875" style="2" customWidth="1"/>
    <col min="2" max="2" width="35.81640625" style="1" customWidth="1"/>
    <col min="3" max="3" width="17" style="3" customWidth="1"/>
    <col min="4" max="5" width="13.1796875" style="1" customWidth="1"/>
    <col min="6" max="6" width="13.81640625" style="1" customWidth="1"/>
    <col min="7" max="8" width="12.1796875" style="2" customWidth="1"/>
    <col min="9" max="9" width="14.26953125" style="2" bestFit="1" customWidth="1"/>
    <col min="10" max="10" width="11.453125" style="4" bestFit="1" customWidth="1"/>
    <col min="11" max="11" width="9.54296875" style="4" bestFit="1" customWidth="1"/>
    <col min="12" max="12" width="8.453125" style="5" bestFit="1" customWidth="1"/>
    <col min="13" max="13" width="8.7265625" style="6" bestFit="1" customWidth="1"/>
    <col min="14" max="14" width="10.54296875" style="6" bestFit="1" customWidth="1"/>
    <col min="15" max="15" width="13.1796875" style="4" bestFit="1" customWidth="1"/>
    <col min="16" max="16" width="8.1796875" style="2" bestFit="1" customWidth="1"/>
    <col min="17" max="17" width="7.81640625" style="2" customWidth="1"/>
    <col min="18" max="18" width="11.26953125" style="2" bestFit="1" customWidth="1"/>
    <col min="19" max="19" width="6.81640625" style="2" customWidth="1"/>
    <col min="20" max="20" width="8.81640625" style="2" customWidth="1"/>
    <col min="21" max="21" width="45.54296875" style="2" customWidth="1"/>
    <col min="22" max="22" width="6.7265625" style="2" customWidth="1"/>
    <col min="23" max="23" width="11.26953125" style="2" bestFit="1" customWidth="1"/>
    <col min="24" max="24" width="9.453125" style="2" bestFit="1" customWidth="1"/>
    <col min="25" max="28" width="9.81640625" style="2" bestFit="1" customWidth="1"/>
    <col min="29" max="30" width="9.453125" style="2" bestFit="1" customWidth="1"/>
    <col min="31" max="38" width="17.81640625" style="2" bestFit="1" customWidth="1"/>
    <col min="39" max="39" width="12.26953125" style="2" bestFit="1" customWidth="1"/>
    <col min="40" max="40" width="10.1796875" style="2" bestFit="1" customWidth="1"/>
    <col min="41" max="41" width="17.26953125" style="2" bestFit="1" customWidth="1"/>
    <col min="42" max="42" width="17.26953125" style="2" customWidth="1"/>
    <col min="43" max="47" width="9.453125" style="2" customWidth="1"/>
    <col min="48" max="48" width="12.26953125" style="2" bestFit="1" customWidth="1"/>
    <col min="49" max="49" width="10.1796875" style="2" bestFit="1" customWidth="1"/>
    <col min="50" max="50" width="17.26953125" style="2" bestFit="1" customWidth="1"/>
    <col min="51" max="51" width="17.26953125" style="2" customWidth="1"/>
    <col min="52" max="56" width="9.453125" style="2" customWidth="1"/>
    <col min="57" max="57" width="12.26953125" style="2" bestFit="1" customWidth="1"/>
    <col min="58" max="58" width="10.1796875" style="2" bestFit="1" customWidth="1"/>
    <col min="59" max="59" width="17.26953125" style="2" bestFit="1" customWidth="1"/>
    <col min="60" max="60" width="17.26953125" style="2" customWidth="1"/>
    <col min="61" max="65" width="9.453125" style="2" customWidth="1"/>
    <col min="66" max="66" width="12.26953125" style="2" bestFit="1" customWidth="1"/>
    <col min="67" max="67" width="10.1796875" style="2" bestFit="1" customWidth="1"/>
    <col min="68" max="68" width="17.26953125" style="2" bestFit="1" customWidth="1"/>
    <col min="69" max="69" width="17.26953125" style="2" customWidth="1"/>
    <col min="70" max="74" width="9.453125" style="2" customWidth="1"/>
    <col min="75" max="75" width="17.453125" bestFit="1" customWidth="1"/>
  </cols>
  <sheetData>
    <row r="1" spans="1:75" ht="18.75" customHeight="1" x14ac:dyDescent="0.35"/>
    <row r="2" spans="1:75" ht="14.5" customHeight="1" x14ac:dyDescent="0.35">
      <c r="A2" s="7"/>
      <c r="B2" s="8" t="s">
        <v>47</v>
      </c>
      <c r="C2" s="9"/>
      <c r="D2" s="10"/>
      <c r="E2" s="10"/>
      <c r="F2" s="10"/>
      <c r="G2" s="11"/>
      <c r="I2" s="2" t="s">
        <v>170</v>
      </c>
    </row>
    <row r="3" spans="1:75" ht="14.5" customHeight="1" x14ac:dyDescent="0.35">
      <c r="A3" s="7"/>
      <c r="B3" s="12" t="s">
        <v>49</v>
      </c>
      <c r="C3" s="14" t="s">
        <v>50</v>
      </c>
      <c r="D3" s="15"/>
      <c r="E3" s="15"/>
      <c r="F3" s="15"/>
      <c r="G3" s="15"/>
      <c r="I3" s="2" t="s">
        <v>125</v>
      </c>
      <c r="J3" s="123" t="s">
        <v>171</v>
      </c>
    </row>
    <row r="4" spans="1:75" ht="14.5" customHeight="1" x14ac:dyDescent="0.35">
      <c r="A4" s="7"/>
      <c r="B4" s="12" t="s">
        <v>51</v>
      </c>
      <c r="C4" s="128" t="s">
        <v>52</v>
      </c>
      <c r="D4" s="129"/>
      <c r="E4" s="129"/>
      <c r="F4" s="129"/>
      <c r="G4" s="130"/>
      <c r="I4" s="2" t="s">
        <v>89</v>
      </c>
      <c r="J4" s="123" t="s">
        <v>172</v>
      </c>
    </row>
    <row r="5" spans="1:75" ht="18.75" customHeight="1" x14ac:dyDescent="0.35">
      <c r="A5" s="7"/>
      <c r="B5" s="12" t="s">
        <v>53</v>
      </c>
      <c r="C5" s="131" t="s">
        <v>54</v>
      </c>
      <c r="D5" s="132"/>
      <c r="E5" s="12"/>
      <c r="F5" s="12"/>
      <c r="G5" s="7"/>
      <c r="I5" s="2" t="s">
        <v>90</v>
      </c>
      <c r="J5" s="123" t="s">
        <v>173</v>
      </c>
    </row>
    <row r="6" spans="1:75" ht="18.75" customHeight="1" x14ac:dyDescent="0.35">
      <c r="A6" s="7"/>
      <c r="B6" s="12" t="s">
        <v>55</v>
      </c>
      <c r="C6" s="131" t="s">
        <v>28</v>
      </c>
      <c r="D6" s="132"/>
      <c r="E6" s="12"/>
      <c r="F6" s="12"/>
      <c r="G6" s="7"/>
      <c r="I6" s="2" t="s">
        <v>91</v>
      </c>
      <c r="J6" s="123" t="s">
        <v>174</v>
      </c>
    </row>
    <row r="7" spans="1:75" ht="18.75" customHeight="1" x14ac:dyDescent="0.35">
      <c r="A7" s="7"/>
      <c r="B7" s="12" t="s">
        <v>56</v>
      </c>
      <c r="C7" s="16" t="s">
        <v>57</v>
      </c>
      <c r="D7" s="12"/>
      <c r="E7" s="12"/>
      <c r="F7" s="12"/>
      <c r="G7" s="7"/>
      <c r="AN7" s="2" t="s">
        <v>169</v>
      </c>
      <c r="AW7" s="2" t="s">
        <v>169</v>
      </c>
      <c r="BF7" s="2" t="s">
        <v>169</v>
      </c>
      <c r="BO7" s="2" t="s">
        <v>169</v>
      </c>
    </row>
    <row r="8" spans="1:75" ht="18.75" customHeight="1" x14ac:dyDescent="0.35">
      <c r="A8" s="7"/>
      <c r="B8" s="12" t="s">
        <v>59</v>
      </c>
      <c r="C8" s="16">
        <v>45476</v>
      </c>
      <c r="D8" s="12"/>
      <c r="E8" s="12"/>
      <c r="F8" s="12"/>
      <c r="G8" s="7"/>
    </row>
    <row r="9" spans="1:75" ht="18.75" customHeight="1" x14ac:dyDescent="0.35">
      <c r="A9" s="7"/>
      <c r="B9" s="12" t="s">
        <v>60</v>
      </c>
      <c r="C9" s="16">
        <v>45490</v>
      </c>
      <c r="D9" s="12" t="s">
        <v>61</v>
      </c>
      <c r="E9" s="12"/>
      <c r="F9" s="12"/>
      <c r="G9" s="7"/>
    </row>
    <row r="10" spans="1:75" ht="18.75" customHeight="1" x14ac:dyDescent="0.35">
      <c r="A10" s="7"/>
      <c r="B10" s="12" t="s">
        <v>62</v>
      </c>
      <c r="C10" s="16">
        <v>45482</v>
      </c>
      <c r="D10" s="12"/>
      <c r="E10" s="12"/>
      <c r="F10" s="12"/>
      <c r="G10" s="7"/>
    </row>
    <row r="11" spans="1:75" ht="18.75" customHeight="1" x14ac:dyDescent="0.35">
      <c r="A11" s="7"/>
      <c r="B11" s="12" t="s">
        <v>63</v>
      </c>
      <c r="C11" s="16">
        <v>45657</v>
      </c>
      <c r="D11" s="12"/>
      <c r="E11" s="12"/>
      <c r="F11" s="18"/>
      <c r="G11" s="18"/>
    </row>
    <row r="12" spans="1:75" ht="18.75" customHeight="1" x14ac:dyDescent="0.35">
      <c r="A12" s="7"/>
      <c r="B12" s="12" t="s">
        <v>64</v>
      </c>
      <c r="C12" s="133"/>
      <c r="D12" s="134"/>
      <c r="E12" s="134"/>
      <c r="F12" s="134"/>
      <c r="G12" s="135"/>
      <c r="O12" s="19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</row>
    <row r="13" spans="1:75" ht="18.75" customHeight="1" x14ac:dyDescent="0.35">
      <c r="A13" s="17"/>
    </row>
    <row r="14" spans="1:75" s="72" customFormat="1" ht="18.75" customHeight="1" x14ac:dyDescent="0.35">
      <c r="A14" s="109" t="s">
        <v>123</v>
      </c>
      <c r="B14" s="107" t="s">
        <v>139</v>
      </c>
      <c r="C14" s="107" t="s">
        <v>139</v>
      </c>
      <c r="D14" s="107" t="s">
        <v>139</v>
      </c>
      <c r="E14" s="107" t="s">
        <v>139</v>
      </c>
      <c r="F14" s="107" t="s">
        <v>139</v>
      </c>
      <c r="G14" s="107" t="s">
        <v>139</v>
      </c>
      <c r="H14" s="107" t="s">
        <v>139</v>
      </c>
      <c r="I14" s="107" t="s">
        <v>139</v>
      </c>
      <c r="J14" s="107" t="s">
        <v>139</v>
      </c>
      <c r="K14" s="107" t="s">
        <v>139</v>
      </c>
      <c r="L14" s="107" t="s">
        <v>139</v>
      </c>
      <c r="M14" s="107" t="s">
        <v>139</v>
      </c>
      <c r="N14" s="107" t="s">
        <v>139</v>
      </c>
      <c r="O14" s="107" t="s">
        <v>139</v>
      </c>
      <c r="P14" s="107" t="s">
        <v>139</v>
      </c>
      <c r="Q14" s="107" t="s">
        <v>139</v>
      </c>
      <c r="R14" s="107" t="s">
        <v>139</v>
      </c>
      <c r="S14" s="107" t="s">
        <v>139</v>
      </c>
      <c r="T14" s="107" t="s">
        <v>139</v>
      </c>
      <c r="U14" s="107" t="s">
        <v>139</v>
      </c>
      <c r="V14" s="107" t="s">
        <v>139</v>
      </c>
      <c r="W14" s="107" t="s">
        <v>124</v>
      </c>
      <c r="X14" s="107" t="s">
        <v>124</v>
      </c>
      <c r="Y14" s="107" t="s">
        <v>124</v>
      </c>
      <c r="Z14" s="107" t="s">
        <v>124</v>
      </c>
      <c r="AA14" s="107" t="s">
        <v>124</v>
      </c>
      <c r="AB14" s="107" t="s">
        <v>124</v>
      </c>
      <c r="AC14" s="107" t="s">
        <v>124</v>
      </c>
      <c r="AD14" s="107" t="s">
        <v>124</v>
      </c>
      <c r="AE14" s="107" t="s">
        <v>138</v>
      </c>
      <c r="AF14" s="107" t="s">
        <v>138</v>
      </c>
      <c r="AG14" s="107" t="s">
        <v>138</v>
      </c>
      <c r="AH14" s="107" t="s">
        <v>138</v>
      </c>
      <c r="AI14" s="107" t="s">
        <v>138</v>
      </c>
      <c r="AJ14" s="107" t="s">
        <v>138</v>
      </c>
      <c r="AK14" s="107" t="s">
        <v>138</v>
      </c>
      <c r="AL14" s="107" t="s">
        <v>138</v>
      </c>
      <c r="AM14" s="107" t="s">
        <v>188</v>
      </c>
      <c r="AN14" s="107" t="s">
        <v>188</v>
      </c>
      <c r="AO14" s="107" t="s">
        <v>188</v>
      </c>
      <c r="AP14" s="107" t="s">
        <v>188</v>
      </c>
      <c r="AQ14" s="107" t="s">
        <v>188</v>
      </c>
      <c r="AR14" s="107" t="s">
        <v>188</v>
      </c>
      <c r="AS14" s="107" t="s">
        <v>188</v>
      </c>
      <c r="AT14" s="107" t="s">
        <v>188</v>
      </c>
      <c r="AU14" s="107" t="s">
        <v>188</v>
      </c>
      <c r="AV14" s="107" t="s">
        <v>188</v>
      </c>
      <c r="AW14" s="107" t="s">
        <v>188</v>
      </c>
      <c r="AX14" s="107" t="s">
        <v>188</v>
      </c>
      <c r="AY14" s="107" t="s">
        <v>188</v>
      </c>
      <c r="AZ14" s="107" t="s">
        <v>188</v>
      </c>
      <c r="BA14" s="107" t="s">
        <v>188</v>
      </c>
      <c r="BB14" s="107" t="s">
        <v>188</v>
      </c>
      <c r="BC14" s="107" t="s">
        <v>188</v>
      </c>
      <c r="BD14" s="107" t="s">
        <v>188</v>
      </c>
      <c r="BE14" s="107" t="s">
        <v>188</v>
      </c>
      <c r="BF14" s="107" t="s">
        <v>188</v>
      </c>
      <c r="BG14" s="107" t="s">
        <v>188</v>
      </c>
      <c r="BH14" s="107" t="s">
        <v>188</v>
      </c>
      <c r="BI14" s="107" t="s">
        <v>188</v>
      </c>
      <c r="BJ14" s="107" t="s">
        <v>188</v>
      </c>
      <c r="BK14" s="107" t="s">
        <v>188</v>
      </c>
      <c r="BL14" s="107" t="s">
        <v>188</v>
      </c>
      <c r="BM14" s="107" t="s">
        <v>188</v>
      </c>
      <c r="BN14" s="107" t="s">
        <v>188</v>
      </c>
      <c r="BO14" s="107" t="s">
        <v>188</v>
      </c>
      <c r="BP14" s="107" t="s">
        <v>188</v>
      </c>
      <c r="BQ14" s="107" t="s">
        <v>188</v>
      </c>
      <c r="BR14" s="107" t="s">
        <v>188</v>
      </c>
      <c r="BS14" s="107" t="s">
        <v>188</v>
      </c>
      <c r="BT14" s="107" t="s">
        <v>188</v>
      </c>
      <c r="BU14" s="107" t="s">
        <v>188</v>
      </c>
      <c r="BV14" s="107" t="s">
        <v>188</v>
      </c>
      <c r="BW14" s="111"/>
    </row>
    <row r="15" spans="1:75" s="72" customFormat="1" ht="18.75" customHeight="1" x14ac:dyDescent="0.35">
      <c r="A15" s="65" t="s">
        <v>65</v>
      </c>
      <c r="B15" s="66"/>
      <c r="C15" s="67"/>
      <c r="D15" s="66" t="s">
        <v>66</v>
      </c>
      <c r="E15" s="66" t="s">
        <v>67</v>
      </c>
      <c r="F15" s="66" t="s">
        <v>68</v>
      </c>
      <c r="G15" s="65" t="s">
        <v>66</v>
      </c>
      <c r="H15" s="65" t="s">
        <v>66</v>
      </c>
      <c r="I15" s="68" t="s">
        <v>69</v>
      </c>
      <c r="J15" s="69" t="s">
        <v>66</v>
      </c>
      <c r="K15" s="69"/>
      <c r="L15" s="70" t="s">
        <v>53</v>
      </c>
      <c r="M15" s="71" t="s">
        <v>53</v>
      </c>
      <c r="N15" s="71" t="s">
        <v>53</v>
      </c>
      <c r="O15" s="69" t="s">
        <v>66</v>
      </c>
      <c r="P15" s="65" t="s">
        <v>68</v>
      </c>
      <c r="Q15" s="65"/>
      <c r="R15" s="65" t="s">
        <v>66</v>
      </c>
      <c r="S15" s="65"/>
      <c r="T15" s="65"/>
      <c r="U15" s="65"/>
      <c r="V15" s="65" t="s">
        <v>70</v>
      </c>
      <c r="W15" s="44" t="s">
        <v>70</v>
      </c>
      <c r="X15" s="105" t="s">
        <v>70</v>
      </c>
      <c r="Y15" s="105" t="s">
        <v>70</v>
      </c>
      <c r="Z15" s="105" t="s">
        <v>70</v>
      </c>
      <c r="AA15" s="105" t="s">
        <v>70</v>
      </c>
      <c r="AB15" s="105" t="s">
        <v>70</v>
      </c>
      <c r="AC15" s="105" t="s">
        <v>70</v>
      </c>
      <c r="AD15" s="105" t="s">
        <v>70</v>
      </c>
      <c r="AE15" s="44" t="s">
        <v>70</v>
      </c>
      <c r="AF15" s="105" t="s">
        <v>70</v>
      </c>
      <c r="AG15" s="105" t="s">
        <v>70</v>
      </c>
      <c r="AH15" s="105" t="s">
        <v>70</v>
      </c>
      <c r="AI15" s="105" t="s">
        <v>70</v>
      </c>
      <c r="AJ15" s="105" t="s">
        <v>70</v>
      </c>
      <c r="AK15" s="105" t="s">
        <v>70</v>
      </c>
      <c r="AL15" s="105" t="s">
        <v>70</v>
      </c>
      <c r="AM15" s="65" t="s">
        <v>187</v>
      </c>
      <c r="AN15" s="65" t="s">
        <v>187</v>
      </c>
      <c r="AO15" s="65" t="s">
        <v>187</v>
      </c>
      <c r="AP15" s="65" t="s">
        <v>187</v>
      </c>
      <c r="AQ15" s="65" t="s">
        <v>187</v>
      </c>
      <c r="AR15" s="65" t="s">
        <v>187</v>
      </c>
      <c r="AS15" s="65" t="s">
        <v>187</v>
      </c>
      <c r="AT15" s="65" t="s">
        <v>187</v>
      </c>
      <c r="AU15" s="65" t="s">
        <v>187</v>
      </c>
      <c r="AV15" s="65" t="s">
        <v>187</v>
      </c>
      <c r="AW15" s="65" t="s">
        <v>187</v>
      </c>
      <c r="AX15" s="65" t="s">
        <v>187</v>
      </c>
      <c r="AY15" s="65" t="s">
        <v>187</v>
      </c>
      <c r="AZ15" s="65" t="s">
        <v>187</v>
      </c>
      <c r="BA15" s="65" t="s">
        <v>187</v>
      </c>
      <c r="BB15" s="65" t="s">
        <v>187</v>
      </c>
      <c r="BC15" s="65" t="s">
        <v>187</v>
      </c>
      <c r="BD15" s="65" t="s">
        <v>187</v>
      </c>
      <c r="BE15" s="65" t="s">
        <v>187</v>
      </c>
      <c r="BF15" s="65" t="s">
        <v>187</v>
      </c>
      <c r="BG15" s="65" t="s">
        <v>187</v>
      </c>
      <c r="BH15" s="65" t="s">
        <v>187</v>
      </c>
      <c r="BI15" s="65" t="s">
        <v>187</v>
      </c>
      <c r="BJ15" s="65" t="s">
        <v>187</v>
      </c>
      <c r="BK15" s="65" t="s">
        <v>187</v>
      </c>
      <c r="BL15" s="65" t="s">
        <v>187</v>
      </c>
      <c r="BM15" s="65" t="s">
        <v>187</v>
      </c>
      <c r="BN15" s="65" t="s">
        <v>187</v>
      </c>
      <c r="BO15" s="65" t="s">
        <v>187</v>
      </c>
      <c r="BP15" s="65" t="s">
        <v>187</v>
      </c>
      <c r="BQ15" s="65" t="s">
        <v>187</v>
      </c>
      <c r="BR15" s="65" t="s">
        <v>187</v>
      </c>
      <c r="BS15" s="65" t="s">
        <v>187</v>
      </c>
      <c r="BT15" s="65" t="s">
        <v>187</v>
      </c>
      <c r="BU15" s="65" t="s">
        <v>187</v>
      </c>
      <c r="BV15" s="65" t="s">
        <v>187</v>
      </c>
      <c r="BW15" s="112" t="s">
        <v>70</v>
      </c>
    </row>
    <row r="16" spans="1:75" ht="18.75" customHeight="1" x14ac:dyDescent="0.35">
      <c r="A16" s="21"/>
      <c r="B16" s="22"/>
      <c r="C16" s="23"/>
      <c r="D16" s="22"/>
      <c r="E16" s="22"/>
      <c r="F16" s="22"/>
      <c r="G16" s="24"/>
      <c r="H16" s="24" t="s">
        <v>71</v>
      </c>
      <c r="I16" s="24" t="s">
        <v>72</v>
      </c>
      <c r="J16" s="25"/>
      <c r="K16" s="25"/>
      <c r="L16" s="26" t="s">
        <v>73</v>
      </c>
      <c r="M16" s="27"/>
      <c r="N16" s="27"/>
      <c r="O16" s="25" t="s">
        <v>74</v>
      </c>
      <c r="P16" s="24" t="s">
        <v>75</v>
      </c>
      <c r="Q16" s="24" t="s">
        <v>71</v>
      </c>
      <c r="R16" s="24" t="s">
        <v>76</v>
      </c>
      <c r="S16" s="24"/>
      <c r="T16" s="24"/>
      <c r="U16" s="24"/>
      <c r="V16" s="61"/>
      <c r="W16" s="91"/>
      <c r="X16" s="95"/>
      <c r="Y16" s="96"/>
      <c r="Z16" s="97"/>
      <c r="AA16" s="98"/>
      <c r="AB16" s="99"/>
      <c r="AC16" s="108"/>
      <c r="AD16" s="108"/>
      <c r="AE16" s="85"/>
      <c r="AF16" s="95"/>
      <c r="AG16" s="96"/>
      <c r="AH16" s="97"/>
      <c r="AI16" s="98"/>
      <c r="AJ16" s="99"/>
      <c r="AK16" s="96"/>
      <c r="AL16" s="86"/>
      <c r="AM16" s="126"/>
      <c r="AN16" s="126"/>
      <c r="AO16" s="126"/>
      <c r="AP16" s="121"/>
      <c r="AQ16" s="121" t="s">
        <v>186</v>
      </c>
      <c r="AR16" s="121"/>
      <c r="AS16" s="121"/>
      <c r="AT16" s="121"/>
      <c r="AU16" s="121"/>
      <c r="AV16" s="126"/>
      <c r="AW16" s="126"/>
      <c r="AX16" s="126"/>
      <c r="AY16" s="121"/>
      <c r="AZ16" s="121" t="s">
        <v>186</v>
      </c>
      <c r="BA16" s="121"/>
      <c r="BB16" s="121"/>
      <c r="BC16" s="121"/>
      <c r="BD16" s="121"/>
      <c r="BE16" s="126"/>
      <c r="BF16" s="126"/>
      <c r="BG16" s="126"/>
      <c r="BH16" s="121"/>
      <c r="BI16" s="121" t="s">
        <v>186</v>
      </c>
      <c r="BJ16" s="121"/>
      <c r="BK16" s="121"/>
      <c r="BL16" s="121"/>
      <c r="BM16" s="121"/>
      <c r="BN16" s="126"/>
      <c r="BO16" s="126"/>
      <c r="BP16" s="126"/>
      <c r="BQ16" s="121"/>
      <c r="BR16" s="121" t="s">
        <v>186</v>
      </c>
      <c r="BS16" s="121"/>
      <c r="BT16" s="121"/>
      <c r="BU16" s="121"/>
      <c r="BV16" s="121"/>
      <c r="BW16" s="83"/>
    </row>
    <row r="17" spans="1:75" ht="18.75" customHeight="1" x14ac:dyDescent="0.35">
      <c r="A17" s="21"/>
      <c r="B17" s="22"/>
      <c r="C17" s="23"/>
      <c r="D17" s="22" t="s">
        <v>77</v>
      </c>
      <c r="E17" s="22" t="s">
        <v>77</v>
      </c>
      <c r="F17" s="22"/>
      <c r="G17" s="24" t="s">
        <v>78</v>
      </c>
      <c r="H17" s="24" t="s">
        <v>79</v>
      </c>
      <c r="I17" s="24" t="s">
        <v>80</v>
      </c>
      <c r="J17" s="25" t="s">
        <v>81</v>
      </c>
      <c r="K17" s="25" t="s">
        <v>82</v>
      </c>
      <c r="L17" s="26" t="s">
        <v>83</v>
      </c>
      <c r="M17" s="27" t="s">
        <v>84</v>
      </c>
      <c r="N17" s="27" t="s">
        <v>74</v>
      </c>
      <c r="O17" s="25" t="s">
        <v>85</v>
      </c>
      <c r="P17" s="24" t="s">
        <v>86</v>
      </c>
      <c r="Q17" s="24" t="s">
        <v>87</v>
      </c>
      <c r="R17" s="28" t="s">
        <v>88</v>
      </c>
      <c r="S17" s="64"/>
      <c r="T17" s="64"/>
      <c r="U17" s="64"/>
      <c r="V17" s="83"/>
      <c r="W17" s="83" t="s">
        <v>103</v>
      </c>
      <c r="X17" s="86" t="s">
        <v>104</v>
      </c>
      <c r="Y17" s="63" t="s">
        <v>103</v>
      </c>
      <c r="Z17" s="63" t="s">
        <v>104</v>
      </c>
      <c r="AA17" s="63" t="s">
        <v>103</v>
      </c>
      <c r="AB17" s="84" t="s">
        <v>104</v>
      </c>
      <c r="AC17" s="84" t="s">
        <v>103</v>
      </c>
      <c r="AD17" s="84" t="s">
        <v>104</v>
      </c>
      <c r="AE17" s="63" t="s">
        <v>8</v>
      </c>
      <c r="AF17" s="63" t="s">
        <v>9</v>
      </c>
      <c r="AG17" s="63" t="s">
        <v>8</v>
      </c>
      <c r="AH17" s="63" t="s">
        <v>9</v>
      </c>
      <c r="AI17" s="63" t="s">
        <v>8</v>
      </c>
      <c r="AJ17" s="63" t="s">
        <v>9</v>
      </c>
      <c r="AK17" s="63" t="s">
        <v>8</v>
      </c>
      <c r="AL17" s="63" t="s">
        <v>9</v>
      </c>
      <c r="AM17" s="121" t="s">
        <v>165</v>
      </c>
      <c r="AN17" s="121" t="s">
        <v>166</v>
      </c>
      <c r="AO17" s="121" t="s">
        <v>167</v>
      </c>
      <c r="AP17" s="121" t="s">
        <v>168</v>
      </c>
      <c r="AQ17" s="121" t="s">
        <v>17</v>
      </c>
      <c r="AR17" s="121" t="s">
        <v>120</v>
      </c>
      <c r="AS17" s="121" t="s">
        <v>119</v>
      </c>
      <c r="AT17" s="121" t="s">
        <v>137</v>
      </c>
      <c r="AU17" s="121" t="s">
        <v>118</v>
      </c>
      <c r="AV17" s="121" t="s">
        <v>165</v>
      </c>
      <c r="AW17" s="121" t="s">
        <v>166</v>
      </c>
      <c r="AX17" s="121" t="s">
        <v>167</v>
      </c>
      <c r="AY17" s="121" t="s">
        <v>168</v>
      </c>
      <c r="AZ17" s="121" t="s">
        <v>17</v>
      </c>
      <c r="BA17" s="121" t="s">
        <v>120</v>
      </c>
      <c r="BB17" s="121" t="s">
        <v>119</v>
      </c>
      <c r="BC17" s="121" t="s">
        <v>137</v>
      </c>
      <c r="BD17" s="121" t="s">
        <v>118</v>
      </c>
      <c r="BE17" s="121" t="s">
        <v>165</v>
      </c>
      <c r="BF17" s="121" t="s">
        <v>166</v>
      </c>
      <c r="BG17" s="121" t="s">
        <v>167</v>
      </c>
      <c r="BH17" s="121" t="s">
        <v>168</v>
      </c>
      <c r="BI17" s="121" t="s">
        <v>17</v>
      </c>
      <c r="BJ17" s="121" t="s">
        <v>120</v>
      </c>
      <c r="BK17" s="121" t="s">
        <v>119</v>
      </c>
      <c r="BL17" s="121" t="s">
        <v>137</v>
      </c>
      <c r="BM17" s="121" t="s">
        <v>118</v>
      </c>
      <c r="BN17" s="121" t="s">
        <v>165</v>
      </c>
      <c r="BO17" s="121" t="s">
        <v>166</v>
      </c>
      <c r="BP17" s="121" t="s">
        <v>167</v>
      </c>
      <c r="BQ17" s="121" t="s">
        <v>168</v>
      </c>
      <c r="BR17" s="121" t="s">
        <v>17</v>
      </c>
      <c r="BS17" s="121" t="s">
        <v>120</v>
      </c>
      <c r="BT17" s="121" t="s">
        <v>119</v>
      </c>
      <c r="BU17" s="121" t="s">
        <v>137</v>
      </c>
      <c r="BV17" s="121" t="s">
        <v>118</v>
      </c>
      <c r="BW17" s="83"/>
    </row>
    <row r="18" spans="1:75" ht="18.75" customHeight="1" x14ac:dyDescent="0.35">
      <c r="A18" s="29" t="s">
        <v>92</v>
      </c>
      <c r="B18" s="22" t="s">
        <v>93</v>
      </c>
      <c r="C18" s="23" t="s">
        <v>94</v>
      </c>
      <c r="D18" s="22" t="s">
        <v>95</v>
      </c>
      <c r="E18" s="22" t="s">
        <v>95</v>
      </c>
      <c r="F18" s="22" t="s">
        <v>96</v>
      </c>
      <c r="G18" s="24" t="s">
        <v>97</v>
      </c>
      <c r="H18" s="24" t="s">
        <v>97</v>
      </c>
      <c r="I18" s="24" t="s">
        <v>97</v>
      </c>
      <c r="J18" s="25" t="s">
        <v>98</v>
      </c>
      <c r="K18" s="25" t="s">
        <v>99</v>
      </c>
      <c r="L18" s="26" t="s">
        <v>100</v>
      </c>
      <c r="M18" s="27" t="s">
        <v>100</v>
      </c>
      <c r="N18" s="27" t="s">
        <v>100</v>
      </c>
      <c r="O18" s="25" t="s">
        <v>98</v>
      </c>
      <c r="P18" s="24" t="s">
        <v>97</v>
      </c>
      <c r="Q18" s="24" t="s">
        <v>97</v>
      </c>
      <c r="R18" s="28" t="s">
        <v>101</v>
      </c>
      <c r="S18" s="64" t="s">
        <v>102</v>
      </c>
      <c r="T18" s="64" t="s">
        <v>3</v>
      </c>
      <c r="U18" s="64" t="s">
        <v>175</v>
      </c>
      <c r="V18" s="83" t="s">
        <v>132</v>
      </c>
      <c r="W18" s="83" t="s">
        <v>125</v>
      </c>
      <c r="X18" s="83" t="s">
        <v>125</v>
      </c>
      <c r="Y18" s="93" t="s">
        <v>89</v>
      </c>
      <c r="Z18" s="94" t="s">
        <v>89</v>
      </c>
      <c r="AA18" s="62" t="s">
        <v>90</v>
      </c>
      <c r="AB18" s="80" t="s">
        <v>90</v>
      </c>
      <c r="AC18" s="63" t="s">
        <v>91</v>
      </c>
      <c r="AD18" s="63" t="s">
        <v>91</v>
      </c>
      <c r="AE18" s="83" t="s">
        <v>125</v>
      </c>
      <c r="AF18" s="83" t="s">
        <v>125</v>
      </c>
      <c r="AG18" s="93" t="s">
        <v>89</v>
      </c>
      <c r="AH18" s="94" t="s">
        <v>89</v>
      </c>
      <c r="AI18" s="62" t="s">
        <v>90</v>
      </c>
      <c r="AJ18" s="80" t="s">
        <v>90</v>
      </c>
      <c r="AK18" s="63" t="s">
        <v>91</v>
      </c>
      <c r="AL18" s="63" t="s">
        <v>91</v>
      </c>
      <c r="AM18" s="121" t="s">
        <v>125</v>
      </c>
      <c r="AN18" s="121" t="s">
        <v>125</v>
      </c>
      <c r="AO18" s="121" t="s">
        <v>125</v>
      </c>
      <c r="AP18" s="121" t="s">
        <v>125</v>
      </c>
      <c r="AQ18" s="121" t="s">
        <v>125</v>
      </c>
      <c r="AR18" s="121" t="s">
        <v>125</v>
      </c>
      <c r="AS18" s="121" t="s">
        <v>125</v>
      </c>
      <c r="AT18" s="121" t="s">
        <v>125</v>
      </c>
      <c r="AU18" s="121" t="s">
        <v>125</v>
      </c>
      <c r="AV18" s="121" t="s">
        <v>89</v>
      </c>
      <c r="AW18" s="121" t="s">
        <v>89</v>
      </c>
      <c r="AX18" s="121" t="s">
        <v>89</v>
      </c>
      <c r="AY18" s="121" t="s">
        <v>89</v>
      </c>
      <c r="AZ18" s="121" t="s">
        <v>89</v>
      </c>
      <c r="BA18" s="121" t="s">
        <v>89</v>
      </c>
      <c r="BB18" s="121" t="s">
        <v>89</v>
      </c>
      <c r="BC18" s="121" t="s">
        <v>89</v>
      </c>
      <c r="BD18" s="121" t="s">
        <v>89</v>
      </c>
      <c r="BE18" s="121" t="s">
        <v>90</v>
      </c>
      <c r="BF18" s="121" t="s">
        <v>90</v>
      </c>
      <c r="BG18" s="121" t="s">
        <v>90</v>
      </c>
      <c r="BH18" s="121" t="s">
        <v>90</v>
      </c>
      <c r="BI18" s="121" t="s">
        <v>90</v>
      </c>
      <c r="BJ18" s="121" t="s">
        <v>90</v>
      </c>
      <c r="BK18" s="121" t="s">
        <v>90</v>
      </c>
      <c r="BL18" s="121" t="s">
        <v>90</v>
      </c>
      <c r="BM18" s="121" t="s">
        <v>90</v>
      </c>
      <c r="BN18" s="121" t="s">
        <v>91</v>
      </c>
      <c r="BO18" s="121" t="s">
        <v>91</v>
      </c>
      <c r="BP18" s="121" t="s">
        <v>91</v>
      </c>
      <c r="BQ18" s="121" t="s">
        <v>91</v>
      </c>
      <c r="BR18" s="121" t="s">
        <v>91</v>
      </c>
      <c r="BS18" s="121" t="s">
        <v>91</v>
      </c>
      <c r="BT18" s="121" t="s">
        <v>91</v>
      </c>
      <c r="BU18" s="121" t="s">
        <v>91</v>
      </c>
      <c r="BV18" s="121" t="s">
        <v>91</v>
      </c>
      <c r="BW18" s="83" t="s">
        <v>140</v>
      </c>
    </row>
    <row r="19" spans="1:75" ht="18.75" customHeight="1" x14ac:dyDescent="0.35">
      <c r="A19" s="20">
        <v>1</v>
      </c>
      <c r="B19" s="30" t="s">
        <v>24</v>
      </c>
      <c r="C19" s="31" t="s">
        <v>23</v>
      </c>
      <c r="D19" s="32" t="s">
        <v>105</v>
      </c>
      <c r="E19" s="32" t="s">
        <v>105</v>
      </c>
      <c r="F19" s="32" t="s">
        <v>106</v>
      </c>
      <c r="G19" s="33">
        <v>20738.599999999999</v>
      </c>
      <c r="H19" s="33">
        <v>9982</v>
      </c>
      <c r="I19" s="33">
        <f>BW19</f>
        <v>10414.152338832022</v>
      </c>
      <c r="J19" s="34">
        <v>11340000</v>
      </c>
      <c r="K19" s="34">
        <f>J19/I19</f>
        <v>1088.9028344357612</v>
      </c>
      <c r="L19" s="35">
        <f t="shared" ref="L19:L26" si="0">M19/N19</f>
        <v>0.75</v>
      </c>
      <c r="M19" s="36">
        <v>0.37148475749999998</v>
      </c>
      <c r="N19" s="36">
        <v>0.49531301</v>
      </c>
      <c r="O19" s="34">
        <f t="shared" ref="O19:O26" si="1">N19*J19</f>
        <v>5616849.5334000001</v>
      </c>
      <c r="P19" s="33">
        <v>3058</v>
      </c>
      <c r="Q19" s="33">
        <f t="shared" ref="Q19:Q26" si="2">P19-H19</f>
        <v>-6924</v>
      </c>
      <c r="R19" s="33">
        <v>824</v>
      </c>
      <c r="S19" s="32" t="s">
        <v>25</v>
      </c>
      <c r="T19" s="32" t="s">
        <v>128</v>
      </c>
      <c r="U19" s="32" t="s">
        <v>176</v>
      </c>
      <c r="V19" s="110" t="s">
        <v>133</v>
      </c>
      <c r="W19" s="116">
        <v>960823.1</v>
      </c>
      <c r="X19" s="116">
        <v>832675.54</v>
      </c>
      <c r="Y19" s="117">
        <v>960811.33</v>
      </c>
      <c r="Z19" s="117">
        <v>832375.76</v>
      </c>
      <c r="AA19" s="118">
        <v>960496.75</v>
      </c>
      <c r="AB19" s="118">
        <v>821966.36</v>
      </c>
      <c r="AC19" s="116">
        <v>960499.22</v>
      </c>
      <c r="AD19" s="116">
        <v>821876.24</v>
      </c>
      <c r="AE19" s="119"/>
      <c r="AF19" s="119"/>
      <c r="AG19" s="120"/>
      <c r="AH19" s="120"/>
      <c r="AI19" s="120"/>
      <c r="AJ19" s="120"/>
      <c r="AK19" s="119"/>
      <c r="AL19" s="119"/>
      <c r="AM19" s="33"/>
      <c r="AN19" s="33"/>
      <c r="AO19" s="32"/>
      <c r="AP19" s="122"/>
      <c r="AQ19" s="89"/>
      <c r="AR19" s="101"/>
      <c r="AS19" s="101"/>
      <c r="AT19" s="101"/>
      <c r="AU19" s="102"/>
      <c r="AV19" s="33"/>
      <c r="AW19" s="33"/>
      <c r="AX19" s="32"/>
      <c r="AY19" s="122"/>
      <c r="AZ19" s="89"/>
      <c r="BA19" s="101"/>
      <c r="BB19" s="101"/>
      <c r="BC19" s="101"/>
      <c r="BD19" s="75"/>
      <c r="BE19" s="33"/>
      <c r="BF19" s="33"/>
      <c r="BG19" s="32"/>
      <c r="BH19" s="122"/>
      <c r="BI19" s="89"/>
      <c r="BJ19" s="101"/>
      <c r="BK19" s="101"/>
      <c r="BL19" s="101"/>
      <c r="BM19" s="75"/>
      <c r="BN19" s="33"/>
      <c r="BO19" s="33"/>
      <c r="BP19" s="32"/>
      <c r="BQ19" s="122"/>
      <c r="BR19" s="89"/>
      <c r="BS19" s="101"/>
      <c r="BT19" s="101"/>
      <c r="BU19" s="101"/>
      <c r="BV19" s="75"/>
      <c r="BW19" s="113">
        <f t="shared" ref="BW19:BW26" si="3">((Y19-AA19)^2+(Z19-AB19)^2)^0.5</f>
        <v>10414.152338832022</v>
      </c>
    </row>
    <row r="20" spans="1:75" ht="18.75" customHeight="1" x14ac:dyDescent="0.35">
      <c r="A20" s="20">
        <v>2</v>
      </c>
      <c r="B20" s="30" t="s">
        <v>33</v>
      </c>
      <c r="C20" s="31" t="s">
        <v>32</v>
      </c>
      <c r="D20" s="32" t="s">
        <v>105</v>
      </c>
      <c r="E20" s="32" t="s">
        <v>105</v>
      </c>
      <c r="F20" s="32" t="s">
        <v>106</v>
      </c>
      <c r="G20" s="33">
        <v>20961.599999999999</v>
      </c>
      <c r="H20" s="33">
        <v>10204</v>
      </c>
      <c r="I20" s="33">
        <f t="shared" ref="I20:I26" si="4">BW20</f>
        <v>10414.318683908274</v>
      </c>
      <c r="J20" s="34">
        <v>11340000</v>
      </c>
      <c r="K20" s="34">
        <f t="shared" ref="K20:K26" si="5">J20/I20</f>
        <v>1088.885441687323</v>
      </c>
      <c r="L20" s="35">
        <f t="shared" si="0"/>
        <v>0.75</v>
      </c>
      <c r="M20" s="36">
        <v>0.37148475749999998</v>
      </c>
      <c r="N20" s="36">
        <v>0.49531301</v>
      </c>
      <c r="O20" s="34">
        <f t="shared" si="1"/>
        <v>5616849.5334000001</v>
      </c>
      <c r="P20" s="33">
        <v>3058</v>
      </c>
      <c r="Q20" s="33">
        <f t="shared" si="2"/>
        <v>-7146</v>
      </c>
      <c r="R20" s="33">
        <v>917</v>
      </c>
      <c r="S20" s="32" t="s">
        <v>25</v>
      </c>
      <c r="T20" s="32" t="s">
        <v>128</v>
      </c>
      <c r="U20" s="32" t="s">
        <v>176</v>
      </c>
      <c r="V20" s="32" t="s">
        <v>133</v>
      </c>
      <c r="W20" s="116">
        <v>962446.7</v>
      </c>
      <c r="X20" s="116">
        <v>831613.03</v>
      </c>
      <c r="Y20" s="117">
        <v>961705</v>
      </c>
      <c r="Z20" s="117">
        <v>832348.3</v>
      </c>
      <c r="AA20" s="118">
        <v>961296.4</v>
      </c>
      <c r="AB20" s="118">
        <v>821942</v>
      </c>
      <c r="AC20" s="116">
        <v>961292.87</v>
      </c>
      <c r="AD20" s="116">
        <v>821851.82</v>
      </c>
      <c r="AE20" s="119"/>
      <c r="AF20" s="119"/>
      <c r="AG20" s="120"/>
      <c r="AH20" s="120"/>
      <c r="AI20" s="120"/>
      <c r="AJ20" s="120"/>
      <c r="AK20" s="119"/>
      <c r="AL20" s="119"/>
      <c r="AM20" s="33"/>
      <c r="AN20" s="33"/>
      <c r="AO20" s="32"/>
      <c r="AP20" s="122"/>
      <c r="AQ20" s="89"/>
      <c r="AR20" s="101"/>
      <c r="AS20" s="101"/>
      <c r="AT20" s="101"/>
      <c r="AU20" s="102"/>
      <c r="AV20" s="33"/>
      <c r="AW20" s="33"/>
      <c r="AX20" s="32"/>
      <c r="AY20" s="122"/>
      <c r="AZ20" s="89"/>
      <c r="BA20" s="101"/>
      <c r="BB20" s="101"/>
      <c r="BC20" s="101"/>
      <c r="BD20" s="75"/>
      <c r="BE20" s="33"/>
      <c r="BF20" s="33"/>
      <c r="BG20" s="32"/>
      <c r="BH20" s="122"/>
      <c r="BI20" s="89"/>
      <c r="BJ20" s="101"/>
      <c r="BK20" s="101"/>
      <c r="BL20" s="101"/>
      <c r="BM20" s="75"/>
      <c r="BN20" s="33"/>
      <c r="BO20" s="33"/>
      <c r="BP20" s="32"/>
      <c r="BQ20" s="122"/>
      <c r="BR20" s="89"/>
      <c r="BS20" s="101"/>
      <c r="BT20" s="101"/>
      <c r="BU20" s="101"/>
      <c r="BV20" s="75"/>
      <c r="BW20" s="113">
        <f t="shared" si="3"/>
        <v>10414.318683908274</v>
      </c>
    </row>
    <row r="21" spans="1:75" ht="18.75" customHeight="1" x14ac:dyDescent="0.35">
      <c r="A21" s="20">
        <v>3</v>
      </c>
      <c r="B21" s="30" t="s">
        <v>35</v>
      </c>
      <c r="C21" s="31" t="s">
        <v>34</v>
      </c>
      <c r="D21" s="32" t="s">
        <v>105</v>
      </c>
      <c r="E21" s="32" t="s">
        <v>105</v>
      </c>
      <c r="F21" s="32" t="s">
        <v>106</v>
      </c>
      <c r="G21" s="33">
        <v>20761.599999999999</v>
      </c>
      <c r="H21" s="33">
        <v>10004</v>
      </c>
      <c r="I21" s="33">
        <f t="shared" si="4"/>
        <v>10414.586122189348</v>
      </c>
      <c r="J21" s="34">
        <v>11340000</v>
      </c>
      <c r="K21" s="34">
        <f t="shared" si="5"/>
        <v>1088.8574799759888</v>
      </c>
      <c r="L21" s="35">
        <f t="shared" si="0"/>
        <v>0.75</v>
      </c>
      <c r="M21" s="36">
        <v>0.37148475749999998</v>
      </c>
      <c r="N21" s="36">
        <v>0.49531301</v>
      </c>
      <c r="O21" s="34">
        <f t="shared" si="1"/>
        <v>5616849.5334000001</v>
      </c>
      <c r="P21" s="33">
        <v>3057</v>
      </c>
      <c r="Q21" s="33">
        <f t="shared" si="2"/>
        <v>-6947</v>
      </c>
      <c r="R21" s="33">
        <v>888</v>
      </c>
      <c r="S21" s="32" t="s">
        <v>25</v>
      </c>
      <c r="T21" s="32" t="s">
        <v>128</v>
      </c>
      <c r="U21" s="32" t="s">
        <v>176</v>
      </c>
      <c r="V21" s="32" t="s">
        <v>133</v>
      </c>
      <c r="W21" s="116">
        <v>963129.76</v>
      </c>
      <c r="X21" s="116">
        <v>831500.12</v>
      </c>
      <c r="Y21" s="117">
        <v>962598.55</v>
      </c>
      <c r="Z21" s="117">
        <v>832320.82</v>
      </c>
      <c r="AA21" s="118">
        <v>962190.01</v>
      </c>
      <c r="AB21" s="118">
        <v>821914.25</v>
      </c>
      <c r="AC21" s="116">
        <v>962186.48</v>
      </c>
      <c r="AD21" s="116">
        <v>821824.31</v>
      </c>
      <c r="AE21" s="119"/>
      <c r="AF21" s="119"/>
      <c r="AG21" s="120"/>
      <c r="AH21" s="120"/>
      <c r="AI21" s="120"/>
      <c r="AJ21" s="120"/>
      <c r="AK21" s="119"/>
      <c r="AL21" s="119"/>
      <c r="AM21" s="33"/>
      <c r="AN21" s="33"/>
      <c r="AO21" s="32"/>
      <c r="AP21" s="122"/>
      <c r="AQ21" s="89"/>
      <c r="AR21" s="101"/>
      <c r="AS21" s="101"/>
      <c r="AT21" s="101"/>
      <c r="AU21" s="100"/>
      <c r="AV21" s="33"/>
      <c r="AW21" s="33"/>
      <c r="AX21" s="32"/>
      <c r="AY21" s="122"/>
      <c r="AZ21" s="89"/>
      <c r="BA21" s="101"/>
      <c r="BB21" s="101"/>
      <c r="BC21" s="101"/>
      <c r="BE21" s="33"/>
      <c r="BF21" s="33"/>
      <c r="BG21" s="32"/>
      <c r="BH21" s="122"/>
      <c r="BI21" s="89"/>
      <c r="BJ21" s="101"/>
      <c r="BK21" s="101"/>
      <c r="BL21" s="101"/>
      <c r="BN21" s="33"/>
      <c r="BO21" s="33"/>
      <c r="BP21" s="32"/>
      <c r="BQ21" s="122"/>
      <c r="BR21" s="89"/>
      <c r="BS21" s="101"/>
      <c r="BT21" s="101"/>
      <c r="BU21" s="101"/>
      <c r="BW21" s="113">
        <f t="shared" si="3"/>
        <v>10414.586122189348</v>
      </c>
    </row>
    <row r="22" spans="1:75" ht="18.75" customHeight="1" x14ac:dyDescent="0.35">
      <c r="A22" s="20">
        <v>4</v>
      </c>
      <c r="B22" s="30" t="s">
        <v>37</v>
      </c>
      <c r="C22" s="31" t="s">
        <v>36</v>
      </c>
      <c r="D22" s="32" t="s">
        <v>105</v>
      </c>
      <c r="E22" s="32" t="s">
        <v>105</v>
      </c>
      <c r="F22" s="32" t="s">
        <v>106</v>
      </c>
      <c r="G22" s="33">
        <v>20981.599999999999</v>
      </c>
      <c r="H22" s="33">
        <v>10224</v>
      </c>
      <c r="I22" s="33">
        <f t="shared" si="4"/>
        <v>10414.53848930912</v>
      </c>
      <c r="J22" s="34">
        <v>11340000</v>
      </c>
      <c r="K22" s="34">
        <f t="shared" si="5"/>
        <v>1088.8624600735691</v>
      </c>
      <c r="L22" s="35">
        <f t="shared" si="0"/>
        <v>0.75</v>
      </c>
      <c r="M22" s="36">
        <v>0.37148475749999998</v>
      </c>
      <c r="N22" s="36">
        <v>0.49531301</v>
      </c>
      <c r="O22" s="34">
        <f t="shared" si="1"/>
        <v>5616849.5334000001</v>
      </c>
      <c r="P22" s="33">
        <v>3056</v>
      </c>
      <c r="Q22" s="33">
        <f t="shared" si="2"/>
        <v>-7168</v>
      </c>
      <c r="R22" s="33">
        <v>914</v>
      </c>
      <c r="S22" s="32" t="s">
        <v>25</v>
      </c>
      <c r="T22" s="32" t="s">
        <v>128</v>
      </c>
      <c r="U22" s="32" t="s">
        <v>176</v>
      </c>
      <c r="V22" s="32" t="s">
        <v>133</v>
      </c>
      <c r="W22" s="116">
        <v>963159.8</v>
      </c>
      <c r="X22" s="116">
        <v>831499.16</v>
      </c>
      <c r="Y22" s="114">
        <v>963487.37</v>
      </c>
      <c r="Z22" s="114">
        <v>832293.5</v>
      </c>
      <c r="AA22" s="115">
        <v>963089.35</v>
      </c>
      <c r="AB22" s="115">
        <v>821886.57</v>
      </c>
      <c r="AC22" s="116">
        <v>963085.91</v>
      </c>
      <c r="AD22" s="116">
        <v>821796.63</v>
      </c>
      <c r="AE22" s="119"/>
      <c r="AF22" s="119"/>
      <c r="AG22" s="120"/>
      <c r="AH22" s="120"/>
      <c r="AI22" s="120"/>
      <c r="AJ22" s="120"/>
      <c r="AK22" s="119"/>
      <c r="AL22" s="119"/>
      <c r="AM22" s="33"/>
      <c r="AN22" s="33"/>
      <c r="AO22" s="32"/>
      <c r="AP22" s="122"/>
      <c r="AQ22" s="89"/>
      <c r="AR22" s="101"/>
      <c r="AS22" s="101"/>
      <c r="AT22" s="101"/>
      <c r="AU22" s="102"/>
      <c r="AV22" s="33"/>
      <c r="AW22" s="33"/>
      <c r="AX22" s="32"/>
      <c r="AY22" s="122"/>
      <c r="AZ22" s="89"/>
      <c r="BA22" s="101"/>
      <c r="BB22" s="101"/>
      <c r="BC22" s="75"/>
      <c r="BD22" s="101"/>
      <c r="BE22" s="33"/>
      <c r="BF22" s="33"/>
      <c r="BG22" s="32"/>
      <c r="BH22" s="122"/>
      <c r="BI22" s="89"/>
      <c r="BJ22" s="101"/>
      <c r="BK22" s="101"/>
      <c r="BL22" s="75"/>
      <c r="BM22" s="101"/>
      <c r="BN22" s="33"/>
      <c r="BO22" s="33"/>
      <c r="BP22" s="32"/>
      <c r="BQ22" s="122"/>
      <c r="BR22" s="89"/>
      <c r="BS22" s="101"/>
      <c r="BT22" s="101"/>
      <c r="BU22" s="75"/>
      <c r="BV22" s="101"/>
      <c r="BW22" s="113">
        <f t="shared" si="3"/>
        <v>10414.53848930912</v>
      </c>
    </row>
    <row r="23" spans="1:75" ht="18.75" customHeight="1" x14ac:dyDescent="0.35">
      <c r="A23" s="20">
        <v>5</v>
      </c>
      <c r="B23" s="30" t="s">
        <v>39</v>
      </c>
      <c r="C23" s="31" t="s">
        <v>38</v>
      </c>
      <c r="D23" s="32" t="s">
        <v>105</v>
      </c>
      <c r="E23" s="32" t="s">
        <v>105</v>
      </c>
      <c r="F23" s="32" t="s">
        <v>106</v>
      </c>
      <c r="G23" s="33">
        <v>20767.599999999999</v>
      </c>
      <c r="H23" s="33">
        <v>10010</v>
      </c>
      <c r="I23" s="33">
        <f t="shared" si="4"/>
        <v>10414.568467392284</v>
      </c>
      <c r="J23" s="34">
        <v>11340000</v>
      </c>
      <c r="K23" s="34">
        <f t="shared" si="5"/>
        <v>1088.8593258093424</v>
      </c>
      <c r="L23" s="35">
        <f t="shared" si="0"/>
        <v>0.75</v>
      </c>
      <c r="M23" s="36">
        <v>0.37148475749999998</v>
      </c>
      <c r="N23" s="36">
        <v>0.49531301</v>
      </c>
      <c r="O23" s="34">
        <f t="shared" si="1"/>
        <v>5616849.5334000001</v>
      </c>
      <c r="P23" s="33">
        <v>3035</v>
      </c>
      <c r="Q23" s="33">
        <f t="shared" si="2"/>
        <v>-6975</v>
      </c>
      <c r="R23" s="33">
        <v>928</v>
      </c>
      <c r="S23" s="32" t="s">
        <v>25</v>
      </c>
      <c r="T23" s="32" t="s">
        <v>128</v>
      </c>
      <c r="U23" s="32" t="s">
        <v>176</v>
      </c>
      <c r="V23" s="32" t="s">
        <v>133</v>
      </c>
      <c r="W23" s="116">
        <v>964384.15</v>
      </c>
      <c r="X23" s="116">
        <v>831616.58</v>
      </c>
      <c r="Y23" s="114">
        <v>964380.97</v>
      </c>
      <c r="Z23" s="114">
        <v>832266.03</v>
      </c>
      <c r="AA23" s="115">
        <v>963982.95</v>
      </c>
      <c r="AB23" s="115">
        <v>821859.07</v>
      </c>
      <c r="AC23" s="116">
        <v>963979.51</v>
      </c>
      <c r="AD23" s="116">
        <v>821769.13</v>
      </c>
      <c r="AE23" s="119"/>
      <c r="AF23" s="119"/>
      <c r="AG23" s="120"/>
      <c r="AH23" s="120"/>
      <c r="AI23" s="120"/>
      <c r="AJ23" s="120"/>
      <c r="AK23" s="119"/>
      <c r="AL23" s="119"/>
      <c r="AM23" s="33"/>
      <c r="AN23" s="33"/>
      <c r="AO23" s="32"/>
      <c r="AP23" s="122"/>
      <c r="AQ23" s="89"/>
      <c r="AR23" s="101"/>
      <c r="AS23" s="101"/>
      <c r="AT23" s="101"/>
      <c r="AU23" s="102"/>
      <c r="AV23" s="33"/>
      <c r="AW23" s="33"/>
      <c r="AX23" s="32"/>
      <c r="AY23" s="122"/>
      <c r="AZ23" s="89"/>
      <c r="BA23" s="101"/>
      <c r="BB23" s="101"/>
      <c r="BC23" s="75"/>
      <c r="BD23" s="101"/>
      <c r="BE23" s="33"/>
      <c r="BF23" s="33"/>
      <c r="BG23" s="32"/>
      <c r="BH23" s="122"/>
      <c r="BI23" s="89"/>
      <c r="BJ23" s="101"/>
      <c r="BK23" s="101"/>
      <c r="BL23" s="75"/>
      <c r="BM23" s="101"/>
      <c r="BN23" s="33"/>
      <c r="BO23" s="33"/>
      <c r="BP23" s="32"/>
      <c r="BQ23" s="122"/>
      <c r="BR23" s="89"/>
      <c r="BS23" s="101"/>
      <c r="BT23" s="101"/>
      <c r="BU23" s="75"/>
      <c r="BV23" s="101"/>
      <c r="BW23" s="113">
        <f t="shared" si="3"/>
        <v>10414.568467392284</v>
      </c>
    </row>
    <row r="24" spans="1:75" ht="18.75" customHeight="1" x14ac:dyDescent="0.35">
      <c r="A24" s="20">
        <v>6</v>
      </c>
      <c r="B24" s="30" t="s">
        <v>41</v>
      </c>
      <c r="C24" s="31" t="s">
        <v>40</v>
      </c>
      <c r="D24" s="32" t="s">
        <v>105</v>
      </c>
      <c r="E24" s="32" t="s">
        <v>105</v>
      </c>
      <c r="F24" s="32" t="s">
        <v>106</v>
      </c>
      <c r="G24" s="33">
        <v>20997.599999999999</v>
      </c>
      <c r="H24" s="33">
        <v>10241</v>
      </c>
      <c r="I24" s="33">
        <f t="shared" si="4"/>
        <v>10414.32642701875</v>
      </c>
      <c r="J24" s="34">
        <v>11340000</v>
      </c>
      <c r="K24" s="34">
        <f t="shared" si="5"/>
        <v>1088.8846320948514</v>
      </c>
      <c r="L24" s="35">
        <f t="shared" si="0"/>
        <v>0.75</v>
      </c>
      <c r="M24" s="36">
        <v>0.37148475749999998</v>
      </c>
      <c r="N24" s="36">
        <v>0.49531301</v>
      </c>
      <c r="O24" s="34">
        <f t="shared" si="1"/>
        <v>5616849.5334000001</v>
      </c>
      <c r="P24" s="33">
        <v>3035</v>
      </c>
      <c r="Q24" s="33">
        <f t="shared" si="2"/>
        <v>-7206</v>
      </c>
      <c r="R24" s="33">
        <v>928</v>
      </c>
      <c r="S24" s="32" t="s">
        <v>25</v>
      </c>
      <c r="T24" s="32" t="s">
        <v>128</v>
      </c>
      <c r="U24" s="32" t="s">
        <v>176</v>
      </c>
      <c r="V24" s="32" t="s">
        <v>133</v>
      </c>
      <c r="W24" s="116">
        <v>964414.12</v>
      </c>
      <c r="X24" s="116">
        <v>831615.71</v>
      </c>
      <c r="Y24" s="114">
        <v>965174.62</v>
      </c>
      <c r="Z24" s="114">
        <v>832241.63</v>
      </c>
      <c r="AA24" s="115">
        <v>964876.55</v>
      </c>
      <c r="AB24" s="115">
        <v>821831.57</v>
      </c>
      <c r="AC24" s="116">
        <v>964873.11</v>
      </c>
      <c r="AD24" s="116">
        <v>821741.63</v>
      </c>
      <c r="AE24" s="119"/>
      <c r="AF24" s="119"/>
      <c r="AG24" s="120"/>
      <c r="AH24" s="120"/>
      <c r="AI24" s="120"/>
      <c r="AJ24" s="120"/>
      <c r="AK24" s="119"/>
      <c r="AL24" s="119"/>
      <c r="AM24" s="33"/>
      <c r="AN24" s="33"/>
      <c r="AO24" s="32"/>
      <c r="AP24" s="122"/>
      <c r="AQ24" s="89"/>
      <c r="AR24" s="101"/>
      <c r="AS24" s="101"/>
      <c r="AT24" s="101"/>
      <c r="AU24" s="102"/>
      <c r="AV24" s="33"/>
      <c r="AW24" s="33"/>
      <c r="AX24" s="32"/>
      <c r="AY24" s="122"/>
      <c r="AZ24" s="89"/>
      <c r="BA24" s="101"/>
      <c r="BB24" s="101"/>
      <c r="BC24" s="75"/>
      <c r="BD24" s="101"/>
      <c r="BE24" s="33"/>
      <c r="BF24" s="33"/>
      <c r="BG24" s="32"/>
      <c r="BH24" s="122"/>
      <c r="BI24" s="89"/>
      <c r="BJ24" s="101"/>
      <c r="BK24" s="101"/>
      <c r="BL24" s="101"/>
      <c r="BM24" s="101"/>
      <c r="BN24" s="33"/>
      <c r="BO24" s="33"/>
      <c r="BP24" s="32"/>
      <c r="BQ24" s="122"/>
      <c r="BR24" s="89"/>
      <c r="BS24" s="101"/>
      <c r="BT24" s="101"/>
      <c r="BU24" s="75"/>
      <c r="BV24" s="101"/>
      <c r="BW24" s="113">
        <f t="shared" si="3"/>
        <v>10414.32642701875</v>
      </c>
    </row>
    <row r="25" spans="1:75" ht="18.75" customHeight="1" x14ac:dyDescent="0.35">
      <c r="A25" s="20">
        <v>7</v>
      </c>
      <c r="B25" s="30" t="s">
        <v>43</v>
      </c>
      <c r="C25" s="31" t="s">
        <v>42</v>
      </c>
      <c r="D25" s="32" t="s">
        <v>107</v>
      </c>
      <c r="E25" s="32" t="s">
        <v>108</v>
      </c>
      <c r="F25" s="32" t="s">
        <v>106</v>
      </c>
      <c r="G25" s="33">
        <v>21488.6</v>
      </c>
      <c r="H25" s="33">
        <v>10731</v>
      </c>
      <c r="I25" s="33">
        <f t="shared" si="4"/>
        <v>10414.576129886478</v>
      </c>
      <c r="J25" s="34">
        <v>11777000</v>
      </c>
      <c r="K25" s="34">
        <f t="shared" si="5"/>
        <v>1130.8189457853982</v>
      </c>
      <c r="L25" s="35">
        <f t="shared" si="0"/>
        <v>0.75</v>
      </c>
      <c r="M25" s="36">
        <v>0.37148475749999998</v>
      </c>
      <c r="N25" s="36">
        <v>0.49531301</v>
      </c>
      <c r="O25" s="34">
        <f t="shared" si="1"/>
        <v>5833301.3187699998</v>
      </c>
      <c r="P25" s="33">
        <v>3059</v>
      </c>
      <c r="Q25" s="33">
        <f t="shared" si="2"/>
        <v>-7672</v>
      </c>
      <c r="R25" s="33">
        <v>1754</v>
      </c>
      <c r="S25" s="32" t="s">
        <v>25</v>
      </c>
      <c r="T25" s="32" t="s">
        <v>128</v>
      </c>
      <c r="U25" s="32" t="s">
        <v>176</v>
      </c>
      <c r="V25" s="32" t="s">
        <v>133</v>
      </c>
      <c r="W25" s="116">
        <v>962476.66</v>
      </c>
      <c r="X25" s="116">
        <v>831612.15</v>
      </c>
      <c r="Y25" s="114">
        <v>962151.75</v>
      </c>
      <c r="Z25" s="114">
        <v>832334.56</v>
      </c>
      <c r="AA25" s="115">
        <v>961743.21</v>
      </c>
      <c r="AB25" s="115">
        <v>821928</v>
      </c>
      <c r="AC25" s="116">
        <v>961739.68</v>
      </c>
      <c r="AD25" s="116">
        <v>821838.07</v>
      </c>
      <c r="AE25" s="119"/>
      <c r="AF25" s="119"/>
      <c r="AG25" s="120"/>
      <c r="AH25" s="120"/>
      <c r="AI25" s="120"/>
      <c r="AJ25" s="120"/>
      <c r="AK25" s="119"/>
      <c r="AL25" s="119"/>
      <c r="AM25" s="33"/>
      <c r="AN25" s="33"/>
      <c r="AO25" s="32"/>
      <c r="AP25" s="122"/>
      <c r="AQ25" s="89"/>
      <c r="AR25" s="101"/>
      <c r="AS25" s="101"/>
      <c r="AT25" s="101"/>
      <c r="AU25" s="102"/>
      <c r="AV25" s="33"/>
      <c r="AW25" s="33"/>
      <c r="AX25" s="32"/>
      <c r="AY25" s="122"/>
      <c r="AZ25" s="89"/>
      <c r="BA25" s="101"/>
      <c r="BB25" s="101"/>
      <c r="BC25" s="101"/>
      <c r="BD25" s="102"/>
      <c r="BE25" s="33"/>
      <c r="BF25" s="33"/>
      <c r="BG25" s="32"/>
      <c r="BH25" s="122"/>
      <c r="BI25" s="89"/>
      <c r="BJ25" s="101"/>
      <c r="BK25" s="101"/>
      <c r="BL25" s="101"/>
      <c r="BM25" s="101"/>
      <c r="BN25" s="33"/>
      <c r="BO25" s="33"/>
      <c r="BP25" s="32"/>
      <c r="BQ25" s="122"/>
      <c r="BR25" s="89"/>
      <c r="BS25" s="101"/>
      <c r="BT25" s="101"/>
      <c r="BU25" s="101"/>
      <c r="BV25" s="101"/>
      <c r="BW25" s="113">
        <f t="shared" si="3"/>
        <v>10414.576129886478</v>
      </c>
    </row>
    <row r="26" spans="1:75" ht="18.75" customHeight="1" x14ac:dyDescent="0.35">
      <c r="A26" s="20">
        <v>8</v>
      </c>
      <c r="B26" s="30" t="s">
        <v>46</v>
      </c>
      <c r="C26" s="31" t="s">
        <v>45</v>
      </c>
      <c r="D26" s="32" t="s">
        <v>107</v>
      </c>
      <c r="E26" s="32" t="s">
        <v>108</v>
      </c>
      <c r="F26" s="32" t="s">
        <v>106</v>
      </c>
      <c r="G26" s="33">
        <v>21496.6</v>
      </c>
      <c r="H26" s="33">
        <v>10739</v>
      </c>
      <c r="I26" s="33">
        <f t="shared" si="4"/>
        <v>10414.548482003494</v>
      </c>
      <c r="J26" s="34">
        <v>11777000</v>
      </c>
      <c r="K26" s="34">
        <f t="shared" si="5"/>
        <v>1130.8219478118369</v>
      </c>
      <c r="L26" s="35">
        <f t="shared" si="0"/>
        <v>0.75</v>
      </c>
      <c r="M26" s="36">
        <v>0.37148475749999998</v>
      </c>
      <c r="N26" s="36">
        <v>0.49531301</v>
      </c>
      <c r="O26" s="34">
        <f t="shared" si="1"/>
        <v>5833301.3187699998</v>
      </c>
      <c r="P26" s="33">
        <v>3035</v>
      </c>
      <c r="Q26" s="33">
        <f t="shared" si="2"/>
        <v>-7704</v>
      </c>
      <c r="R26" s="33">
        <v>1754</v>
      </c>
      <c r="S26" s="32" t="s">
        <v>25</v>
      </c>
      <c r="T26" s="32" t="s">
        <v>128</v>
      </c>
      <c r="U26" s="32" t="s">
        <v>176</v>
      </c>
      <c r="V26" s="32" t="s">
        <v>133</v>
      </c>
      <c r="W26" s="116">
        <v>964354.17</v>
      </c>
      <c r="X26" s="116">
        <v>831617.56</v>
      </c>
      <c r="Y26" s="114">
        <v>963934.17</v>
      </c>
      <c r="Z26" s="114">
        <v>832279.76</v>
      </c>
      <c r="AA26" s="115">
        <v>963536.15</v>
      </c>
      <c r="AB26" s="115">
        <v>821872.82</v>
      </c>
      <c r="AC26" s="116">
        <v>963532.71</v>
      </c>
      <c r="AD26" s="116">
        <v>821782.88</v>
      </c>
      <c r="AE26" s="119"/>
      <c r="AF26" s="119"/>
      <c r="AG26" s="120"/>
      <c r="AH26" s="120"/>
      <c r="AI26" s="120"/>
      <c r="AJ26" s="120"/>
      <c r="AK26" s="119"/>
      <c r="AL26" s="119"/>
      <c r="AM26" s="33"/>
      <c r="AN26" s="33"/>
      <c r="AO26" s="32"/>
      <c r="AP26" s="122"/>
      <c r="AQ26" s="89"/>
      <c r="AR26" s="101"/>
      <c r="AS26" s="101"/>
      <c r="AT26" s="101"/>
      <c r="AU26" s="102"/>
      <c r="AV26" s="33"/>
      <c r="AW26" s="33"/>
      <c r="AX26" s="32"/>
      <c r="AY26" s="122"/>
      <c r="AZ26" s="89"/>
      <c r="BA26" s="101"/>
      <c r="BB26" s="101"/>
      <c r="BC26" s="101"/>
      <c r="BD26" s="102"/>
      <c r="BE26" s="33"/>
      <c r="BF26" s="33"/>
      <c r="BG26" s="32"/>
      <c r="BH26" s="122"/>
      <c r="BI26" s="89"/>
      <c r="BJ26" s="101"/>
      <c r="BK26" s="101"/>
      <c r="BL26" s="101"/>
      <c r="BM26" s="101"/>
      <c r="BN26" s="33"/>
      <c r="BO26" s="33"/>
      <c r="BP26" s="32"/>
      <c r="BQ26" s="122"/>
      <c r="BR26" s="89"/>
      <c r="BS26" s="101"/>
      <c r="BT26" s="101"/>
      <c r="BU26" s="101"/>
      <c r="BV26" s="101"/>
      <c r="BW26" s="113">
        <f t="shared" si="3"/>
        <v>10414.548482003494</v>
      </c>
    </row>
    <row r="27" spans="1:75" ht="18.75" customHeight="1" x14ac:dyDescent="0.35">
      <c r="A27" s="20"/>
      <c r="B27" s="32"/>
      <c r="C27" s="37"/>
      <c r="D27" s="32"/>
      <c r="E27" s="33"/>
      <c r="F27" s="32"/>
      <c r="G27" s="33"/>
      <c r="H27" s="33"/>
      <c r="I27" s="33"/>
      <c r="J27" s="38">
        <f>SUM(J19:J26)</f>
        <v>91594000</v>
      </c>
      <c r="K27" s="38"/>
      <c r="L27" s="39"/>
      <c r="M27" s="39"/>
      <c r="N27" s="39"/>
      <c r="O27" s="38">
        <f>SUM(O19:O26)</f>
        <v>45367699.83794</v>
      </c>
      <c r="P27" s="33"/>
      <c r="Q27" s="33"/>
      <c r="R27" s="33"/>
      <c r="S27" s="33"/>
      <c r="T27" s="33"/>
      <c r="U27" s="33"/>
      <c r="V27" s="33"/>
      <c r="W27" s="90"/>
      <c r="X27" s="82"/>
      <c r="Y27" s="82"/>
      <c r="Z27" s="82"/>
      <c r="AA27" s="33"/>
      <c r="AB27" s="33"/>
      <c r="AC27" s="33"/>
      <c r="AD27" s="33"/>
      <c r="AE27" s="90"/>
      <c r="AF27" s="82"/>
      <c r="AG27" s="82"/>
      <c r="AH27" s="82"/>
      <c r="AI27" s="33"/>
      <c r="AJ27" s="33"/>
      <c r="AK27" s="33"/>
      <c r="AL27" s="89"/>
      <c r="AM27" s="33"/>
      <c r="AN27" s="33"/>
      <c r="AO27" s="33"/>
      <c r="AP27" s="89"/>
      <c r="AQ27" s="89"/>
      <c r="AR27" s="89"/>
      <c r="AS27" s="89"/>
      <c r="AT27" s="89"/>
      <c r="AU27" s="89"/>
      <c r="AV27" s="33"/>
      <c r="AW27" s="33"/>
      <c r="AX27" s="33"/>
      <c r="AY27" s="89"/>
      <c r="AZ27" s="89"/>
      <c r="BA27" s="89"/>
      <c r="BB27" s="89"/>
      <c r="BC27" s="89"/>
      <c r="BD27" s="89"/>
      <c r="BE27" s="33"/>
      <c r="BF27" s="33"/>
      <c r="BG27" s="33"/>
      <c r="BH27" s="89"/>
      <c r="BI27" s="89"/>
      <c r="BJ27" s="89"/>
      <c r="BK27" s="89"/>
      <c r="BL27" s="89"/>
      <c r="BM27" s="89"/>
      <c r="BN27" s="33"/>
      <c r="BO27" s="33"/>
      <c r="BP27" s="33"/>
      <c r="BQ27" s="89"/>
      <c r="BR27" s="89"/>
      <c r="BS27" s="89"/>
      <c r="BT27" s="89"/>
      <c r="BU27" s="89"/>
      <c r="BV27" s="89"/>
      <c r="BW27" s="111"/>
    </row>
    <row r="28" spans="1:75" ht="18.75" customHeight="1" x14ac:dyDescent="0.35">
      <c r="A28" s="40"/>
      <c r="B28" s="41"/>
      <c r="C28" s="42"/>
      <c r="D28" s="41"/>
      <c r="E28" s="41"/>
      <c r="F28" s="41"/>
      <c r="G28" s="43"/>
      <c r="H28" s="44"/>
      <c r="I28" s="45" t="s">
        <v>109</v>
      </c>
      <c r="J28" s="46"/>
      <c r="K28" s="124" t="s">
        <v>177</v>
      </c>
      <c r="L28" s="47"/>
      <c r="M28" s="47"/>
      <c r="N28" s="46"/>
      <c r="O28" s="124" t="s">
        <v>177</v>
      </c>
      <c r="P28" s="44"/>
      <c r="Q28" s="124" t="s">
        <v>177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</row>
    <row r="29" spans="1:75" x14ac:dyDescent="0.35">
      <c r="A29" s="2" t="s">
        <v>178</v>
      </c>
      <c r="B29" s="1" t="s">
        <v>179</v>
      </c>
      <c r="C29" s="3" t="s">
        <v>181</v>
      </c>
      <c r="E29" s="1" t="s">
        <v>180</v>
      </c>
      <c r="F29" s="1" t="s">
        <v>181</v>
      </c>
      <c r="G29" s="2" t="s">
        <v>181</v>
      </c>
      <c r="H29" s="2" t="s">
        <v>179</v>
      </c>
      <c r="I29" s="2" t="s">
        <v>179</v>
      </c>
      <c r="J29" s="4" t="s">
        <v>179</v>
      </c>
      <c r="L29" s="4" t="s">
        <v>179</v>
      </c>
      <c r="M29" s="4" t="s">
        <v>179</v>
      </c>
      <c r="N29" s="4" t="s">
        <v>179</v>
      </c>
      <c r="O29" s="4" t="s">
        <v>179</v>
      </c>
      <c r="P29" s="4" t="s">
        <v>179</v>
      </c>
      <c r="Q29" s="4" t="s">
        <v>179</v>
      </c>
      <c r="R29" s="2" t="s">
        <v>181</v>
      </c>
      <c r="S29" s="2" t="s">
        <v>182</v>
      </c>
      <c r="T29" s="2" t="s">
        <v>183</v>
      </c>
      <c r="U29" s="2" t="s">
        <v>182</v>
      </c>
      <c r="V29" s="2" t="s">
        <v>184</v>
      </c>
      <c r="W29" s="2" t="s">
        <v>184</v>
      </c>
      <c r="X29" s="2" t="s">
        <v>184</v>
      </c>
      <c r="Y29" s="2" t="s">
        <v>184</v>
      </c>
      <c r="Z29" s="2" t="s">
        <v>184</v>
      </c>
      <c r="AA29" s="2" t="s">
        <v>184</v>
      </c>
      <c r="AB29" s="2" t="s">
        <v>184</v>
      </c>
      <c r="AC29" s="2" t="s">
        <v>184</v>
      </c>
      <c r="AD29" s="2" t="s">
        <v>184</v>
      </c>
      <c r="AE29" s="2" t="s">
        <v>184</v>
      </c>
      <c r="AF29" s="2" t="s">
        <v>184</v>
      </c>
    </row>
    <row r="30" spans="1:75" x14ac:dyDescent="0.35">
      <c r="V30" s="125" t="s">
        <v>185</v>
      </c>
    </row>
  </sheetData>
  <mergeCells count="4">
    <mergeCell ref="C4:G4"/>
    <mergeCell ref="C5:D5"/>
    <mergeCell ref="C6:D6"/>
    <mergeCell ref="C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J30"/>
  <sheetViews>
    <sheetView topLeftCell="P16" workbookViewId="0">
      <selection activeCell="G16" sqref="G1:H1048576"/>
    </sheetView>
  </sheetViews>
  <sheetFormatPr defaultRowHeight="14.5" x14ac:dyDescent="0.35"/>
  <cols>
    <col min="1" max="1" width="16.26953125" style="2" bestFit="1" customWidth="1"/>
    <col min="2" max="2" width="35.81640625" style="1" customWidth="1"/>
    <col min="3" max="3" width="17" style="3" customWidth="1"/>
    <col min="4" max="4" width="22.54296875" style="1" bestFit="1" customWidth="1"/>
    <col min="5" max="5" width="13.453125" style="1" customWidth="1"/>
    <col min="6" max="6" width="13.81640625" style="1" customWidth="1"/>
    <col min="7" max="8" width="12.1796875" style="2" customWidth="1"/>
    <col min="9" max="9" width="14.26953125" style="2" bestFit="1" customWidth="1"/>
    <col min="10" max="10" width="11.453125" style="4" bestFit="1" customWidth="1"/>
    <col min="11" max="11" width="9.54296875" style="4" bestFit="1" customWidth="1"/>
    <col min="12" max="12" width="8.453125" style="5" bestFit="1" customWidth="1"/>
    <col min="13" max="13" width="8.7265625" style="6" bestFit="1" customWidth="1"/>
    <col min="14" max="14" width="10.54296875" style="6" bestFit="1" customWidth="1"/>
    <col min="15" max="15" width="13.1796875" style="4" bestFit="1" customWidth="1"/>
    <col min="16" max="16" width="8.1796875" style="2" bestFit="1" customWidth="1"/>
    <col min="17" max="17" width="6.26953125" style="2" bestFit="1" customWidth="1"/>
    <col min="18" max="18" width="11.26953125" style="2" bestFit="1" customWidth="1"/>
    <col min="19" max="19" width="5.1796875" style="2" bestFit="1" customWidth="1"/>
    <col min="20" max="20" width="6.54296875" style="2" bestFit="1" customWidth="1"/>
    <col min="21" max="21" width="12.26953125" style="2" bestFit="1" customWidth="1"/>
    <col min="22" max="22" width="10.1796875" style="2" bestFit="1" customWidth="1"/>
    <col min="23" max="23" width="17.26953125" style="2" bestFit="1" customWidth="1"/>
    <col min="24" max="24" width="6.7265625" style="2" bestFit="1" customWidth="1"/>
    <col min="25" max="25" width="12.26953125" style="2" bestFit="1" customWidth="1"/>
    <col min="26" max="26" width="10.1796875" style="2" bestFit="1" customWidth="1"/>
    <col min="27" max="27" width="17.26953125" style="2" bestFit="1" customWidth="1"/>
    <col min="28" max="28" width="6.7265625" style="2" bestFit="1" customWidth="1"/>
    <col min="29" max="29" width="6.7265625" style="2" customWidth="1"/>
    <col min="30" max="30" width="11.26953125" style="2" bestFit="1" customWidth="1"/>
    <col min="31" max="31" width="9.453125" style="2" bestFit="1" customWidth="1"/>
    <col min="32" max="35" width="9.81640625" style="2" bestFit="1" customWidth="1"/>
    <col min="36" max="37" width="9.453125" style="2" bestFit="1" customWidth="1"/>
    <col min="38" max="45" width="17.81640625" style="2" bestFit="1" customWidth="1"/>
    <col min="46" max="57" width="16.26953125" style="2" bestFit="1" customWidth="1"/>
    <col min="58" max="61" width="16.26953125" style="2" customWidth="1"/>
    <col min="62" max="62" width="17.453125" bestFit="1" customWidth="1"/>
  </cols>
  <sheetData>
    <row r="1" spans="1:62" ht="18.75" customHeight="1" x14ac:dyDescent="0.35"/>
    <row r="2" spans="1:62" ht="14.5" customHeight="1" x14ac:dyDescent="0.35">
      <c r="A2" s="7"/>
      <c r="B2" s="8" t="s">
        <v>47</v>
      </c>
      <c r="C2" s="9"/>
      <c r="D2" s="10"/>
      <c r="E2" s="10"/>
      <c r="F2" s="10"/>
      <c r="G2" s="11"/>
    </row>
    <row r="3" spans="1:62" ht="14.5" customHeight="1" x14ac:dyDescent="0.35">
      <c r="A3" s="7"/>
      <c r="B3" s="12" t="s">
        <v>48</v>
      </c>
      <c r="C3" s="13">
        <v>0.49531301</v>
      </c>
      <c r="D3" s="13"/>
      <c r="E3" s="13"/>
      <c r="F3" s="13"/>
      <c r="G3" s="13"/>
    </row>
    <row r="4" spans="1:62" ht="14.5" customHeight="1" x14ac:dyDescent="0.35">
      <c r="A4" s="7"/>
      <c r="B4" s="12" t="s">
        <v>49</v>
      </c>
      <c r="C4" s="14" t="s">
        <v>50</v>
      </c>
      <c r="D4" s="15"/>
      <c r="E4" s="15"/>
      <c r="F4" s="15"/>
      <c r="G4" s="15"/>
    </row>
    <row r="5" spans="1:62" ht="14.5" customHeight="1" x14ac:dyDescent="0.35">
      <c r="A5" s="7"/>
      <c r="B5" s="12" t="s">
        <v>51</v>
      </c>
      <c r="C5" s="128" t="s">
        <v>52</v>
      </c>
      <c r="D5" s="129"/>
      <c r="E5" s="129"/>
      <c r="F5" s="129"/>
      <c r="G5" s="130"/>
    </row>
    <row r="6" spans="1:62" ht="18.75" customHeight="1" x14ac:dyDescent="0.35">
      <c r="A6" s="7"/>
      <c r="B6" s="12" t="s">
        <v>53</v>
      </c>
      <c r="C6" s="131" t="s">
        <v>54</v>
      </c>
      <c r="D6" s="132"/>
      <c r="E6" s="12"/>
      <c r="F6" s="12"/>
      <c r="G6" s="7"/>
    </row>
    <row r="7" spans="1:62" ht="18.75" customHeight="1" x14ac:dyDescent="0.35">
      <c r="A7" s="7"/>
      <c r="B7" s="12" t="s">
        <v>55</v>
      </c>
      <c r="C7" s="131" t="s">
        <v>28</v>
      </c>
      <c r="D7" s="132"/>
      <c r="E7" s="12"/>
      <c r="F7" s="12"/>
      <c r="G7" s="7"/>
    </row>
    <row r="8" spans="1:62" ht="18.75" customHeight="1" x14ac:dyDescent="0.35">
      <c r="A8" s="7"/>
      <c r="B8" s="12" t="s">
        <v>56</v>
      </c>
      <c r="C8" s="16" t="s">
        <v>57</v>
      </c>
      <c r="D8" s="12"/>
      <c r="E8" s="12"/>
      <c r="F8" s="12"/>
      <c r="G8" s="7"/>
    </row>
    <row r="9" spans="1:62" ht="18.75" customHeight="1" x14ac:dyDescent="0.35">
      <c r="A9" s="7"/>
      <c r="B9" s="12" t="s">
        <v>58</v>
      </c>
      <c r="C9" s="16"/>
      <c r="D9" s="12"/>
      <c r="E9" s="12"/>
      <c r="F9" s="12"/>
      <c r="G9" s="7"/>
    </row>
    <row r="10" spans="1:62" ht="18.75" customHeight="1" x14ac:dyDescent="0.35">
      <c r="A10" s="7"/>
      <c r="B10" s="12" t="s">
        <v>59</v>
      </c>
      <c r="C10" s="16">
        <v>45476</v>
      </c>
      <c r="D10" s="12"/>
      <c r="E10" s="12"/>
      <c r="F10" s="12"/>
      <c r="G10" s="7"/>
    </row>
    <row r="11" spans="1:62" ht="18.75" customHeight="1" x14ac:dyDescent="0.35">
      <c r="A11" s="7"/>
      <c r="B11" s="12" t="s">
        <v>60</v>
      </c>
      <c r="C11" s="16">
        <v>45490</v>
      </c>
      <c r="D11" s="12" t="s">
        <v>61</v>
      </c>
      <c r="E11" s="12"/>
      <c r="F11" s="12"/>
      <c r="G11" s="7"/>
    </row>
    <row r="12" spans="1:62" ht="18.75" customHeight="1" x14ac:dyDescent="0.35">
      <c r="A12" s="7"/>
      <c r="B12" s="12" t="s">
        <v>62</v>
      </c>
      <c r="C12" s="16">
        <v>45482</v>
      </c>
      <c r="D12" s="12"/>
      <c r="E12" s="12"/>
      <c r="F12" s="12"/>
      <c r="G12" s="7"/>
      <c r="J12" s="17"/>
    </row>
    <row r="13" spans="1:62" ht="18.75" customHeight="1" x14ac:dyDescent="0.35">
      <c r="A13" s="7"/>
      <c r="B13" s="12" t="s">
        <v>63</v>
      </c>
      <c r="C13" s="16">
        <v>45657</v>
      </c>
      <c r="D13" s="12"/>
      <c r="E13" s="12"/>
      <c r="F13" s="18"/>
      <c r="G13" s="18"/>
    </row>
    <row r="14" spans="1:62" ht="18.75" customHeight="1" x14ac:dyDescent="0.35">
      <c r="A14" s="7"/>
      <c r="B14" s="12" t="s">
        <v>64</v>
      </c>
      <c r="C14" s="133"/>
      <c r="D14" s="134"/>
      <c r="E14" s="134"/>
      <c r="F14" s="134"/>
      <c r="G14" s="135"/>
      <c r="O14" s="19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</row>
    <row r="15" spans="1:62" ht="18.75" customHeight="1" x14ac:dyDescent="0.35">
      <c r="A15" s="17"/>
    </row>
    <row r="16" spans="1:62" s="72" customFormat="1" ht="18.75" customHeight="1" x14ac:dyDescent="0.35">
      <c r="A16" s="109" t="s">
        <v>123</v>
      </c>
      <c r="B16" s="73"/>
      <c r="C16" s="74"/>
      <c r="D16" s="73"/>
      <c r="E16" s="73"/>
      <c r="F16" s="73"/>
      <c r="G16" s="75"/>
      <c r="H16" s="75"/>
      <c r="I16" s="75"/>
      <c r="J16" s="76"/>
      <c r="K16" s="76"/>
      <c r="L16" s="77"/>
      <c r="M16" s="78"/>
      <c r="N16" s="78"/>
      <c r="O16" s="76"/>
      <c r="P16" s="75"/>
      <c r="Q16" s="75"/>
      <c r="R16" s="75"/>
      <c r="S16" s="107" t="s">
        <v>139</v>
      </c>
      <c r="T16" s="107" t="s">
        <v>139</v>
      </c>
      <c r="U16" s="107" t="s">
        <v>139</v>
      </c>
      <c r="V16" s="107" t="s">
        <v>139</v>
      </c>
      <c r="W16" s="107" t="s">
        <v>139</v>
      </c>
      <c r="X16" s="107" t="s">
        <v>139</v>
      </c>
      <c r="Y16" s="107" t="s">
        <v>139</v>
      </c>
      <c r="Z16" s="107" t="s">
        <v>139</v>
      </c>
      <c r="AA16" s="107" t="s">
        <v>139</v>
      </c>
      <c r="AB16" s="107" t="s">
        <v>139</v>
      </c>
      <c r="AC16" s="107" t="s">
        <v>139</v>
      </c>
      <c r="AD16" s="107" t="s">
        <v>124</v>
      </c>
      <c r="AE16" s="107" t="s">
        <v>124</v>
      </c>
      <c r="AF16" s="107" t="s">
        <v>124</v>
      </c>
      <c r="AG16" s="107" t="s">
        <v>124</v>
      </c>
      <c r="AH16" s="107" t="s">
        <v>124</v>
      </c>
      <c r="AI16" s="107" t="s">
        <v>124</v>
      </c>
      <c r="AJ16" s="107" t="s">
        <v>124</v>
      </c>
      <c r="AK16" s="107" t="s">
        <v>124</v>
      </c>
      <c r="AL16" s="107" t="s">
        <v>138</v>
      </c>
      <c r="AM16" s="107" t="s">
        <v>138</v>
      </c>
      <c r="AN16" s="107" t="s">
        <v>138</v>
      </c>
      <c r="AO16" s="107" t="s">
        <v>138</v>
      </c>
      <c r="AP16" s="107" t="s">
        <v>138</v>
      </c>
      <c r="AQ16" s="107" t="s">
        <v>138</v>
      </c>
      <c r="AR16" s="107" t="s">
        <v>138</v>
      </c>
      <c r="AS16" s="107" t="s">
        <v>138</v>
      </c>
      <c r="AT16" s="107" t="s">
        <v>126</v>
      </c>
      <c r="AU16" s="107" t="s">
        <v>126</v>
      </c>
      <c r="AV16" s="107" t="s">
        <v>126</v>
      </c>
      <c r="AW16" s="107" t="s">
        <v>126</v>
      </c>
      <c r="AX16" s="107" t="s">
        <v>126</v>
      </c>
      <c r="AY16" s="107" t="s">
        <v>126</v>
      </c>
      <c r="AZ16" s="107" t="s">
        <v>126</v>
      </c>
      <c r="BA16" s="107" t="s">
        <v>126</v>
      </c>
      <c r="BB16" s="107" t="s">
        <v>126</v>
      </c>
      <c r="BC16" s="107" t="s">
        <v>126</v>
      </c>
      <c r="BD16" s="107" t="s">
        <v>126</v>
      </c>
      <c r="BE16" s="107" t="s">
        <v>126</v>
      </c>
      <c r="BF16" s="107" t="s">
        <v>126</v>
      </c>
      <c r="BG16" s="107" t="s">
        <v>126</v>
      </c>
      <c r="BH16" s="107" t="s">
        <v>126</v>
      </c>
      <c r="BI16" s="107" t="s">
        <v>126</v>
      </c>
      <c r="BJ16" s="111"/>
    </row>
    <row r="17" spans="1:62" s="72" customFormat="1" ht="18.75" customHeight="1" x14ac:dyDescent="0.35">
      <c r="A17" s="65" t="s">
        <v>65</v>
      </c>
      <c r="B17" s="66"/>
      <c r="C17" s="67"/>
      <c r="D17" s="66" t="s">
        <v>66</v>
      </c>
      <c r="E17" s="66" t="s">
        <v>67</v>
      </c>
      <c r="F17" s="66" t="s">
        <v>68</v>
      </c>
      <c r="G17" s="65" t="s">
        <v>66</v>
      </c>
      <c r="H17" s="65" t="s">
        <v>66</v>
      </c>
      <c r="I17" s="68" t="s">
        <v>69</v>
      </c>
      <c r="J17" s="69" t="s">
        <v>66</v>
      </c>
      <c r="K17" s="69"/>
      <c r="L17" s="70" t="s">
        <v>53</v>
      </c>
      <c r="M17" s="71" t="s">
        <v>53</v>
      </c>
      <c r="N17" s="71" t="s">
        <v>53</v>
      </c>
      <c r="O17" s="69" t="s">
        <v>66</v>
      </c>
      <c r="P17" s="65" t="s">
        <v>68</v>
      </c>
      <c r="Q17" s="65"/>
      <c r="R17" s="65" t="s">
        <v>66</v>
      </c>
      <c r="S17" s="65" t="s">
        <v>70</v>
      </c>
      <c r="T17" s="65" t="s">
        <v>70</v>
      </c>
      <c r="U17" s="65" t="s">
        <v>70</v>
      </c>
      <c r="V17" s="65" t="s">
        <v>70</v>
      </c>
      <c r="W17" s="65" t="s">
        <v>70</v>
      </c>
      <c r="X17" s="88" t="s">
        <v>70</v>
      </c>
      <c r="Y17" s="65" t="s">
        <v>70</v>
      </c>
      <c r="Z17" s="65" t="s">
        <v>70</v>
      </c>
      <c r="AA17" s="65" t="s">
        <v>70</v>
      </c>
      <c r="AB17" s="81" t="s">
        <v>70</v>
      </c>
      <c r="AC17" s="65" t="s">
        <v>70</v>
      </c>
      <c r="AD17" s="44" t="s">
        <v>70</v>
      </c>
      <c r="AE17" s="105" t="s">
        <v>70</v>
      </c>
      <c r="AF17" s="105" t="s">
        <v>70</v>
      </c>
      <c r="AG17" s="105" t="s">
        <v>70</v>
      </c>
      <c r="AH17" s="105" t="s">
        <v>70</v>
      </c>
      <c r="AI17" s="105" t="s">
        <v>70</v>
      </c>
      <c r="AJ17" s="105" t="s">
        <v>70</v>
      </c>
      <c r="AK17" s="105" t="s">
        <v>70</v>
      </c>
      <c r="AL17" s="44" t="s">
        <v>70</v>
      </c>
      <c r="AM17" s="105" t="s">
        <v>70</v>
      </c>
      <c r="AN17" s="105" t="s">
        <v>70</v>
      </c>
      <c r="AO17" s="105" t="s">
        <v>70</v>
      </c>
      <c r="AP17" s="105" t="s">
        <v>70</v>
      </c>
      <c r="AQ17" s="105" t="s">
        <v>70</v>
      </c>
      <c r="AR17" s="105" t="s">
        <v>70</v>
      </c>
      <c r="AS17" s="105" t="s">
        <v>70</v>
      </c>
      <c r="AT17" s="105" t="s">
        <v>70</v>
      </c>
      <c r="AU17" s="105" t="s">
        <v>70</v>
      </c>
      <c r="AV17" s="105" t="s">
        <v>70</v>
      </c>
      <c r="AW17" s="106" t="s">
        <v>70</v>
      </c>
      <c r="AX17" s="105" t="s">
        <v>70</v>
      </c>
      <c r="AY17" s="105" t="s">
        <v>70</v>
      </c>
      <c r="AZ17" s="105" t="s">
        <v>70</v>
      </c>
      <c r="BA17" s="106" t="s">
        <v>70</v>
      </c>
      <c r="BB17" s="105" t="s">
        <v>70</v>
      </c>
      <c r="BC17" s="105" t="s">
        <v>70</v>
      </c>
      <c r="BD17" s="105" t="s">
        <v>70</v>
      </c>
      <c r="BE17" s="105" t="s">
        <v>70</v>
      </c>
      <c r="BF17" s="105" t="s">
        <v>70</v>
      </c>
      <c r="BG17" s="105" t="s">
        <v>70</v>
      </c>
      <c r="BH17" s="105" t="s">
        <v>70</v>
      </c>
      <c r="BI17" s="105" t="s">
        <v>70</v>
      </c>
      <c r="BJ17" s="112" t="s">
        <v>70</v>
      </c>
    </row>
    <row r="18" spans="1:62" ht="18.75" customHeight="1" x14ac:dyDescent="0.35">
      <c r="A18" s="21"/>
      <c r="B18" s="22"/>
      <c r="C18" s="23"/>
      <c r="D18" s="22"/>
      <c r="E18" s="22"/>
      <c r="F18" s="22"/>
      <c r="G18" s="24"/>
      <c r="H18" s="24" t="s">
        <v>71</v>
      </c>
      <c r="I18" s="24" t="s">
        <v>72</v>
      </c>
      <c r="J18" s="25"/>
      <c r="K18" s="25"/>
      <c r="L18" s="26" t="s">
        <v>73</v>
      </c>
      <c r="M18" s="27"/>
      <c r="N18" s="27"/>
      <c r="O18" s="25" t="s">
        <v>74</v>
      </c>
      <c r="P18" s="24" t="s">
        <v>75</v>
      </c>
      <c r="Q18" s="24" t="s">
        <v>71</v>
      </c>
      <c r="R18" s="24" t="s">
        <v>76</v>
      </c>
      <c r="S18" s="24"/>
      <c r="T18" s="24"/>
      <c r="U18" s="24"/>
      <c r="V18" s="24"/>
      <c r="W18" s="24"/>
      <c r="X18" s="64"/>
      <c r="Y18" s="24"/>
      <c r="Z18" s="24"/>
      <c r="AA18" s="64"/>
      <c r="AB18" s="83"/>
      <c r="AC18" s="61"/>
      <c r="AD18" s="91"/>
      <c r="AE18" s="95"/>
      <c r="AF18" s="96"/>
      <c r="AG18" s="97"/>
      <c r="AH18" s="98"/>
      <c r="AI18" s="99"/>
      <c r="AJ18" s="108"/>
      <c r="AK18" s="108"/>
      <c r="AL18" s="85"/>
      <c r="AM18" s="95"/>
      <c r="AN18" s="96"/>
      <c r="AO18" s="97"/>
      <c r="AP18" s="98"/>
      <c r="AQ18" s="99"/>
      <c r="AR18" s="96"/>
      <c r="AS18" s="86"/>
      <c r="AT18" s="83"/>
      <c r="AU18" s="83"/>
      <c r="AV18" s="83"/>
      <c r="AW18" s="86"/>
      <c r="AX18" s="83"/>
      <c r="AY18" s="83"/>
      <c r="AZ18" s="83"/>
      <c r="BA18" s="86"/>
      <c r="BB18" s="83"/>
      <c r="BC18" s="83"/>
      <c r="BD18" s="83"/>
      <c r="BE18" s="83"/>
      <c r="BF18" s="83"/>
      <c r="BG18" s="83"/>
      <c r="BH18" s="83"/>
      <c r="BI18" s="83"/>
      <c r="BJ18" s="83"/>
    </row>
    <row r="19" spans="1:62" ht="18.75" customHeight="1" x14ac:dyDescent="0.35">
      <c r="A19" s="21"/>
      <c r="B19" s="22"/>
      <c r="C19" s="23"/>
      <c r="D19" s="22" t="s">
        <v>77</v>
      </c>
      <c r="E19" s="22" t="s">
        <v>77</v>
      </c>
      <c r="F19" s="22"/>
      <c r="G19" s="24" t="s">
        <v>78</v>
      </c>
      <c r="H19" s="24" t="s">
        <v>79</v>
      </c>
      <c r="I19" s="24" t="s">
        <v>80</v>
      </c>
      <c r="J19" s="25" t="s">
        <v>81</v>
      </c>
      <c r="K19" s="25" t="s">
        <v>82</v>
      </c>
      <c r="L19" s="26" t="s">
        <v>83</v>
      </c>
      <c r="M19" s="27" t="s">
        <v>84</v>
      </c>
      <c r="N19" s="27" t="s">
        <v>74</v>
      </c>
      <c r="O19" s="25" t="s">
        <v>85</v>
      </c>
      <c r="P19" s="24" t="s">
        <v>86</v>
      </c>
      <c r="Q19" s="24" t="s">
        <v>87</v>
      </c>
      <c r="R19" s="28" t="s">
        <v>88</v>
      </c>
      <c r="S19" s="64"/>
      <c r="T19" s="64"/>
      <c r="U19" s="64" t="s">
        <v>121</v>
      </c>
      <c r="V19" s="64" t="s">
        <v>122</v>
      </c>
      <c r="W19" s="64" t="s">
        <v>127</v>
      </c>
      <c r="X19" s="64" t="s">
        <v>17</v>
      </c>
      <c r="Y19" s="64" t="s">
        <v>121</v>
      </c>
      <c r="Z19" s="64" t="s">
        <v>122</v>
      </c>
      <c r="AA19" s="64" t="s">
        <v>127</v>
      </c>
      <c r="AB19" s="83" t="s">
        <v>17</v>
      </c>
      <c r="AC19" s="83"/>
      <c r="AD19" s="83" t="s">
        <v>103</v>
      </c>
      <c r="AE19" s="86" t="s">
        <v>104</v>
      </c>
      <c r="AF19" s="63" t="s">
        <v>103</v>
      </c>
      <c r="AG19" s="63" t="s">
        <v>104</v>
      </c>
      <c r="AH19" s="63" t="s">
        <v>103</v>
      </c>
      <c r="AI19" s="84" t="s">
        <v>104</v>
      </c>
      <c r="AJ19" s="84" t="s">
        <v>103</v>
      </c>
      <c r="AK19" s="84" t="s">
        <v>104</v>
      </c>
      <c r="AL19" s="63" t="s">
        <v>8</v>
      </c>
      <c r="AM19" s="63" t="s">
        <v>9</v>
      </c>
      <c r="AN19" s="63" t="s">
        <v>8</v>
      </c>
      <c r="AO19" s="63" t="s">
        <v>9</v>
      </c>
      <c r="AP19" s="63" t="s">
        <v>8</v>
      </c>
      <c r="AQ19" s="63" t="s">
        <v>9</v>
      </c>
      <c r="AR19" s="63" t="s">
        <v>8</v>
      </c>
      <c r="AS19" s="63" t="s">
        <v>9</v>
      </c>
      <c r="AT19" s="63" t="s">
        <v>120</v>
      </c>
      <c r="AU19" s="63" t="s">
        <v>119</v>
      </c>
      <c r="AV19" s="63" t="s">
        <v>137</v>
      </c>
      <c r="AW19" s="84" t="s">
        <v>118</v>
      </c>
      <c r="AX19" s="63" t="s">
        <v>120</v>
      </c>
      <c r="AY19" s="63" t="s">
        <v>119</v>
      </c>
      <c r="AZ19" s="63" t="s">
        <v>137</v>
      </c>
      <c r="BA19" s="84" t="s">
        <v>118</v>
      </c>
      <c r="BB19" s="63" t="s">
        <v>120</v>
      </c>
      <c r="BC19" s="63" t="s">
        <v>119</v>
      </c>
      <c r="BD19" s="63" t="s">
        <v>137</v>
      </c>
      <c r="BE19" s="63" t="s">
        <v>118</v>
      </c>
      <c r="BF19" s="63" t="s">
        <v>120</v>
      </c>
      <c r="BG19" s="63" t="s">
        <v>119</v>
      </c>
      <c r="BH19" s="63" t="s">
        <v>137</v>
      </c>
      <c r="BI19" s="63" t="s">
        <v>118</v>
      </c>
      <c r="BJ19" s="83"/>
    </row>
    <row r="20" spans="1:62" ht="18.75" customHeight="1" x14ac:dyDescent="0.35">
      <c r="A20" s="29" t="s">
        <v>92</v>
      </c>
      <c r="B20" s="22" t="s">
        <v>93</v>
      </c>
      <c r="C20" s="23" t="s">
        <v>94</v>
      </c>
      <c r="D20" s="22" t="s">
        <v>95</v>
      </c>
      <c r="E20" s="22" t="s">
        <v>95</v>
      </c>
      <c r="F20" s="22" t="s">
        <v>96</v>
      </c>
      <c r="G20" s="24" t="s">
        <v>97</v>
      </c>
      <c r="H20" s="24" t="s">
        <v>97</v>
      </c>
      <c r="I20" s="24" t="s">
        <v>97</v>
      </c>
      <c r="J20" s="25" t="s">
        <v>98</v>
      </c>
      <c r="K20" s="25" t="s">
        <v>99</v>
      </c>
      <c r="L20" s="26" t="s">
        <v>100</v>
      </c>
      <c r="M20" s="27" t="s">
        <v>100</v>
      </c>
      <c r="N20" s="27" t="s">
        <v>100</v>
      </c>
      <c r="O20" s="25" t="s">
        <v>98</v>
      </c>
      <c r="P20" s="24" t="s">
        <v>97</v>
      </c>
      <c r="Q20" s="24" t="s">
        <v>97</v>
      </c>
      <c r="R20" s="28" t="s">
        <v>101</v>
      </c>
      <c r="S20" s="64" t="s">
        <v>102</v>
      </c>
      <c r="T20" s="64" t="s">
        <v>3</v>
      </c>
      <c r="U20" s="64" t="s">
        <v>134</v>
      </c>
      <c r="V20" s="64" t="s">
        <v>134</v>
      </c>
      <c r="W20" s="64" t="s">
        <v>134</v>
      </c>
      <c r="X20" s="64" t="s">
        <v>134</v>
      </c>
      <c r="Y20" s="64" t="s">
        <v>135</v>
      </c>
      <c r="Z20" s="64" t="s">
        <v>136</v>
      </c>
      <c r="AA20" s="64" t="s">
        <v>136</v>
      </c>
      <c r="AB20" s="83" t="s">
        <v>136</v>
      </c>
      <c r="AC20" s="83" t="s">
        <v>132</v>
      </c>
      <c r="AD20" s="83" t="s">
        <v>125</v>
      </c>
      <c r="AE20" s="83" t="s">
        <v>125</v>
      </c>
      <c r="AF20" s="93" t="s">
        <v>89</v>
      </c>
      <c r="AG20" s="94" t="s">
        <v>89</v>
      </c>
      <c r="AH20" s="62" t="s">
        <v>90</v>
      </c>
      <c r="AI20" s="80" t="s">
        <v>90</v>
      </c>
      <c r="AJ20" s="63" t="s">
        <v>91</v>
      </c>
      <c r="AK20" s="63" t="s">
        <v>91</v>
      </c>
      <c r="AL20" s="83" t="s">
        <v>125</v>
      </c>
      <c r="AM20" s="83" t="s">
        <v>125</v>
      </c>
      <c r="AN20" s="93" t="s">
        <v>89</v>
      </c>
      <c r="AO20" s="94" t="s">
        <v>89</v>
      </c>
      <c r="AP20" s="62" t="s">
        <v>90</v>
      </c>
      <c r="AQ20" s="80" t="s">
        <v>90</v>
      </c>
      <c r="AR20" s="63" t="s">
        <v>91</v>
      </c>
      <c r="AS20" s="63" t="s">
        <v>91</v>
      </c>
      <c r="AT20" s="83" t="s">
        <v>125</v>
      </c>
      <c r="AU20" s="92" t="s">
        <v>125</v>
      </c>
      <c r="AV20" s="93" t="s">
        <v>125</v>
      </c>
      <c r="AW20" s="79" t="s">
        <v>125</v>
      </c>
      <c r="AX20" s="83" t="s">
        <v>89</v>
      </c>
      <c r="AY20" s="83" t="s">
        <v>89</v>
      </c>
      <c r="AZ20" s="83" t="s">
        <v>89</v>
      </c>
      <c r="BA20" s="83" t="s">
        <v>89</v>
      </c>
      <c r="BB20" s="83" t="s">
        <v>90</v>
      </c>
      <c r="BC20" s="83" t="s">
        <v>90</v>
      </c>
      <c r="BD20" s="83" t="s">
        <v>90</v>
      </c>
      <c r="BE20" s="83" t="s">
        <v>90</v>
      </c>
      <c r="BF20" s="83" t="s">
        <v>91</v>
      </c>
      <c r="BG20" s="83" t="s">
        <v>91</v>
      </c>
      <c r="BH20" s="83" t="s">
        <v>91</v>
      </c>
      <c r="BI20" s="83" t="s">
        <v>91</v>
      </c>
      <c r="BJ20" s="83" t="s">
        <v>140</v>
      </c>
    </row>
    <row r="21" spans="1:62" ht="18.75" customHeight="1" x14ac:dyDescent="0.35">
      <c r="A21" s="20">
        <v>1</v>
      </c>
      <c r="B21" s="30" t="s">
        <v>24</v>
      </c>
      <c r="C21" s="31" t="s">
        <v>23</v>
      </c>
      <c r="D21" s="32" t="s">
        <v>105</v>
      </c>
      <c r="E21" s="32" t="s">
        <v>105</v>
      </c>
      <c r="F21" s="32" t="s">
        <v>106</v>
      </c>
      <c r="G21" s="33">
        <v>20738.599999999999</v>
      </c>
      <c r="H21" s="33">
        <v>9982</v>
      </c>
      <c r="I21" s="33">
        <f>BJ21</f>
        <v>10414.152338832022</v>
      </c>
      <c r="J21" s="34">
        <v>11340000</v>
      </c>
      <c r="K21" s="34">
        <f>J21/I21</f>
        <v>1088.9028344357612</v>
      </c>
      <c r="L21" s="35">
        <f t="shared" ref="L21:L28" si="0">M21/N21</f>
        <v>0.75</v>
      </c>
      <c r="M21" s="36">
        <v>0.37148475749999998</v>
      </c>
      <c r="N21" s="36">
        <v>0.49531301</v>
      </c>
      <c r="O21" s="34">
        <f t="shared" ref="O21:O28" si="1">N21*J21</f>
        <v>5616849.5334000001</v>
      </c>
      <c r="P21" s="33">
        <v>3058</v>
      </c>
      <c r="Q21" s="33">
        <f t="shared" ref="Q21:Q28" si="2">P21-H21</f>
        <v>-6924</v>
      </c>
      <c r="R21" s="33">
        <v>824</v>
      </c>
      <c r="S21" s="32" t="s">
        <v>25</v>
      </c>
      <c r="T21" s="32" t="s">
        <v>128</v>
      </c>
      <c r="U21" s="33" t="s">
        <v>130</v>
      </c>
      <c r="V21" s="33" t="s">
        <v>129</v>
      </c>
      <c r="W21" s="32"/>
      <c r="X21" s="89">
        <v>41</v>
      </c>
      <c r="Y21" s="33" t="s">
        <v>131</v>
      </c>
      <c r="Z21" s="33" t="s">
        <v>129</v>
      </c>
      <c r="AA21" s="32"/>
      <c r="AB21" s="87">
        <v>44</v>
      </c>
      <c r="AC21" s="110" t="s">
        <v>133</v>
      </c>
      <c r="AD21" s="116">
        <v>960823.1</v>
      </c>
      <c r="AE21" s="116">
        <v>832675.54</v>
      </c>
      <c r="AF21" s="117">
        <v>960811.33</v>
      </c>
      <c r="AG21" s="117">
        <v>832375.76</v>
      </c>
      <c r="AH21" s="118">
        <v>960496.75</v>
      </c>
      <c r="AI21" s="118">
        <v>821966.36</v>
      </c>
      <c r="AJ21" s="116">
        <v>960499.22</v>
      </c>
      <c r="AK21" s="116">
        <v>821876.24</v>
      </c>
      <c r="AL21" s="119">
        <v>31.910306609999999</v>
      </c>
      <c r="AM21" s="119">
        <v>-103.67735785000001</v>
      </c>
      <c r="AN21" s="120" t="s">
        <v>141</v>
      </c>
      <c r="AO21" s="120" t="s">
        <v>142</v>
      </c>
      <c r="AP21" s="120" t="s">
        <v>143</v>
      </c>
      <c r="AQ21" s="120" t="s">
        <v>144</v>
      </c>
      <c r="AR21" s="119">
        <v>31.883392090000001</v>
      </c>
      <c r="AS21" s="119">
        <v>-103.68258933</v>
      </c>
      <c r="AT21" s="101">
        <v>812</v>
      </c>
      <c r="AU21" s="101"/>
      <c r="AV21" s="101">
        <v>2148</v>
      </c>
      <c r="AW21" s="102"/>
      <c r="AX21" s="101">
        <v>100</v>
      </c>
      <c r="AY21" s="101"/>
      <c r="AZ21" s="101">
        <v>514</v>
      </c>
      <c r="BA21" s="75"/>
      <c r="BB21" s="101"/>
      <c r="BC21" s="101">
        <v>100</v>
      </c>
      <c r="BD21" s="101">
        <v>608</v>
      </c>
      <c r="BE21" s="75"/>
      <c r="BF21" s="101"/>
      <c r="BG21" s="101">
        <v>10</v>
      </c>
      <c r="BH21" s="101">
        <v>614</v>
      </c>
      <c r="BI21" s="75"/>
      <c r="BJ21" s="113">
        <f>((AF21-AH21)^2+(AG21-AI21)^2)^0.5</f>
        <v>10414.152338832022</v>
      </c>
    </row>
    <row r="22" spans="1:62" ht="18.75" customHeight="1" x14ac:dyDescent="0.35">
      <c r="A22" s="20">
        <v>2</v>
      </c>
      <c r="B22" s="30" t="s">
        <v>33</v>
      </c>
      <c r="C22" s="31" t="s">
        <v>32</v>
      </c>
      <c r="D22" s="32" t="s">
        <v>105</v>
      </c>
      <c r="E22" s="32" t="s">
        <v>105</v>
      </c>
      <c r="F22" s="32" t="s">
        <v>106</v>
      </c>
      <c r="G22" s="33">
        <v>20961.599999999999</v>
      </c>
      <c r="H22" s="33">
        <v>10204</v>
      </c>
      <c r="I22" s="33">
        <f t="shared" ref="I22:I28" si="3">BJ22</f>
        <v>10414.318683908274</v>
      </c>
      <c r="J22" s="34">
        <v>11340000</v>
      </c>
      <c r="K22" s="34">
        <f t="shared" ref="K22:K28" si="4">J22/I22</f>
        <v>1088.885441687323</v>
      </c>
      <c r="L22" s="35">
        <f t="shared" si="0"/>
        <v>0.75</v>
      </c>
      <c r="M22" s="36">
        <v>0.37148475749999998</v>
      </c>
      <c r="N22" s="36">
        <v>0.49531301</v>
      </c>
      <c r="O22" s="34">
        <f t="shared" si="1"/>
        <v>5616849.5334000001</v>
      </c>
      <c r="P22" s="33">
        <v>3058</v>
      </c>
      <c r="Q22" s="33">
        <f t="shared" si="2"/>
        <v>-7146</v>
      </c>
      <c r="R22" s="33">
        <v>917</v>
      </c>
      <c r="S22" s="32" t="s">
        <v>25</v>
      </c>
      <c r="T22" s="32" t="s">
        <v>128</v>
      </c>
      <c r="U22" s="33" t="s">
        <v>130</v>
      </c>
      <c r="V22" s="33" t="s">
        <v>129</v>
      </c>
      <c r="W22" s="32"/>
      <c r="X22" s="89">
        <v>41</v>
      </c>
      <c r="Y22" s="33" t="s">
        <v>131</v>
      </c>
      <c r="Z22" s="33" t="s">
        <v>129</v>
      </c>
      <c r="AA22" s="32"/>
      <c r="AB22" s="89">
        <v>44</v>
      </c>
      <c r="AC22" s="32" t="s">
        <v>133</v>
      </c>
      <c r="AD22" s="116">
        <v>962446.7</v>
      </c>
      <c r="AE22" s="116">
        <v>831613.03</v>
      </c>
      <c r="AF22" s="117">
        <v>961705</v>
      </c>
      <c r="AG22" s="117">
        <v>832348.3</v>
      </c>
      <c r="AH22" s="118">
        <v>961296.4</v>
      </c>
      <c r="AI22" s="118">
        <v>821942</v>
      </c>
      <c r="AJ22" s="116">
        <v>961292.87</v>
      </c>
      <c r="AK22" s="116">
        <v>821851.82</v>
      </c>
      <c r="AL22" s="119">
        <v>31.910306250000001</v>
      </c>
      <c r="AM22" s="119">
        <v>-103.6772611</v>
      </c>
      <c r="AN22" s="120" t="s">
        <v>145</v>
      </c>
      <c r="AO22" s="120" t="s">
        <v>146</v>
      </c>
      <c r="AP22" s="120" t="s">
        <v>143</v>
      </c>
      <c r="AQ22" s="120" t="s">
        <v>147</v>
      </c>
      <c r="AR22" s="119">
        <v>31.883390630000001</v>
      </c>
      <c r="AS22" s="119">
        <v>-103.68003136999999</v>
      </c>
      <c r="AT22" s="101">
        <v>812</v>
      </c>
      <c r="AU22" s="101"/>
      <c r="AV22" s="101">
        <v>2178</v>
      </c>
      <c r="AW22" s="102"/>
      <c r="AX22" s="101">
        <v>100</v>
      </c>
      <c r="AY22" s="101"/>
      <c r="AZ22" s="101">
        <v>1408</v>
      </c>
      <c r="BA22" s="75"/>
      <c r="BB22" s="101"/>
      <c r="BC22" s="101">
        <v>100</v>
      </c>
      <c r="BD22" s="101">
        <v>1408</v>
      </c>
      <c r="BE22" s="75"/>
      <c r="BF22" s="101"/>
      <c r="BG22" s="101">
        <v>10</v>
      </c>
      <c r="BH22" s="101">
        <v>1408</v>
      </c>
      <c r="BI22" s="75"/>
      <c r="BJ22" s="113">
        <f t="shared" ref="BJ22:BJ28" si="5">((AF22-AH22)^2+(AG22-AI22)^2)^0.5</f>
        <v>10414.318683908274</v>
      </c>
    </row>
    <row r="23" spans="1:62" ht="18.75" customHeight="1" x14ac:dyDescent="0.35">
      <c r="A23" s="20">
        <v>3</v>
      </c>
      <c r="B23" s="30" t="s">
        <v>35</v>
      </c>
      <c r="C23" s="31" t="s">
        <v>34</v>
      </c>
      <c r="D23" s="32" t="s">
        <v>105</v>
      </c>
      <c r="E23" s="32" t="s">
        <v>105</v>
      </c>
      <c r="F23" s="32" t="s">
        <v>106</v>
      </c>
      <c r="G23" s="33">
        <v>20761.599999999999</v>
      </c>
      <c r="H23" s="33">
        <v>10004</v>
      </c>
      <c r="I23" s="33">
        <f t="shared" si="3"/>
        <v>10414.586122189348</v>
      </c>
      <c r="J23" s="34">
        <v>11340000</v>
      </c>
      <c r="K23" s="34">
        <f t="shared" si="4"/>
        <v>1088.8574799759888</v>
      </c>
      <c r="L23" s="35">
        <f t="shared" si="0"/>
        <v>0.75</v>
      </c>
      <c r="M23" s="36">
        <v>0.37148475749999998</v>
      </c>
      <c r="N23" s="36">
        <v>0.49531301</v>
      </c>
      <c r="O23" s="34">
        <f t="shared" si="1"/>
        <v>5616849.5334000001</v>
      </c>
      <c r="P23" s="33">
        <v>3057</v>
      </c>
      <c r="Q23" s="33">
        <f t="shared" si="2"/>
        <v>-6947</v>
      </c>
      <c r="R23" s="33">
        <v>888</v>
      </c>
      <c r="S23" s="32" t="s">
        <v>25</v>
      </c>
      <c r="T23" s="32" t="s">
        <v>128</v>
      </c>
      <c r="U23" s="33" t="s">
        <v>130</v>
      </c>
      <c r="V23" s="33" t="s">
        <v>129</v>
      </c>
      <c r="W23" s="32"/>
      <c r="X23" s="89">
        <v>41</v>
      </c>
      <c r="Y23" s="33" t="s">
        <v>131</v>
      </c>
      <c r="Z23" s="33" t="s">
        <v>129</v>
      </c>
      <c r="AA23" s="32"/>
      <c r="AB23" s="89">
        <v>44</v>
      </c>
      <c r="AC23" s="32" t="s">
        <v>133</v>
      </c>
      <c r="AD23" s="116">
        <v>963129.76</v>
      </c>
      <c r="AE23" s="116">
        <v>831500.12</v>
      </c>
      <c r="AF23" s="117">
        <v>962598.55</v>
      </c>
      <c r="AG23" s="117">
        <v>832320.82</v>
      </c>
      <c r="AH23" s="118">
        <v>962190.01</v>
      </c>
      <c r="AI23" s="118">
        <v>821914.25</v>
      </c>
      <c r="AJ23" s="116">
        <v>962186.48</v>
      </c>
      <c r="AK23" s="116">
        <v>821824.31</v>
      </c>
      <c r="AL23" s="119">
        <v>31.910052440000001</v>
      </c>
      <c r="AM23" s="119">
        <v>-103.67505007</v>
      </c>
      <c r="AN23" s="120" t="s">
        <v>145</v>
      </c>
      <c r="AO23" s="120" t="s">
        <v>148</v>
      </c>
      <c r="AP23" s="120" t="s">
        <v>149</v>
      </c>
      <c r="AQ23" s="120" t="s">
        <v>150</v>
      </c>
      <c r="AR23" s="119">
        <v>31.883388920000002</v>
      </c>
      <c r="AS23" s="119">
        <v>-103.67715124999999</v>
      </c>
      <c r="AT23" s="101">
        <v>904</v>
      </c>
      <c r="AU23" s="101"/>
      <c r="AV23" s="101"/>
      <c r="AW23" s="100">
        <v>2445</v>
      </c>
      <c r="AX23" s="101">
        <v>100</v>
      </c>
      <c r="AY23" s="101"/>
      <c r="AZ23" s="101">
        <v>2302</v>
      </c>
      <c r="BB23" s="101"/>
      <c r="BC23" s="101">
        <v>100</v>
      </c>
      <c r="BD23" s="101">
        <v>2302</v>
      </c>
      <c r="BF23" s="101"/>
      <c r="BG23" s="101">
        <v>10</v>
      </c>
      <c r="BH23" s="101">
        <v>2302</v>
      </c>
      <c r="BJ23" s="113">
        <f t="shared" si="5"/>
        <v>10414.586122189348</v>
      </c>
    </row>
    <row r="24" spans="1:62" ht="18.75" customHeight="1" x14ac:dyDescent="0.35">
      <c r="A24" s="20">
        <v>4</v>
      </c>
      <c r="B24" s="30" t="s">
        <v>37</v>
      </c>
      <c r="C24" s="31" t="s">
        <v>36</v>
      </c>
      <c r="D24" s="32" t="s">
        <v>105</v>
      </c>
      <c r="E24" s="32" t="s">
        <v>105</v>
      </c>
      <c r="F24" s="32" t="s">
        <v>106</v>
      </c>
      <c r="G24" s="33">
        <v>20981.599999999999</v>
      </c>
      <c r="H24" s="33">
        <v>10224</v>
      </c>
      <c r="I24" s="33">
        <f t="shared" si="3"/>
        <v>10414.53848930912</v>
      </c>
      <c r="J24" s="34">
        <v>11340000</v>
      </c>
      <c r="K24" s="34">
        <f t="shared" si="4"/>
        <v>1088.8624600735691</v>
      </c>
      <c r="L24" s="35">
        <f t="shared" si="0"/>
        <v>0.75</v>
      </c>
      <c r="M24" s="36">
        <v>0.37148475749999998</v>
      </c>
      <c r="N24" s="36">
        <v>0.49531301</v>
      </c>
      <c r="O24" s="34">
        <f t="shared" si="1"/>
        <v>5616849.5334000001</v>
      </c>
      <c r="P24" s="33">
        <v>3056</v>
      </c>
      <c r="Q24" s="33">
        <f t="shared" si="2"/>
        <v>-7168</v>
      </c>
      <c r="R24" s="33">
        <v>914</v>
      </c>
      <c r="S24" s="32" t="s">
        <v>25</v>
      </c>
      <c r="T24" s="32" t="s">
        <v>128</v>
      </c>
      <c r="U24" s="33" t="s">
        <v>130</v>
      </c>
      <c r="V24" s="33" t="s">
        <v>129</v>
      </c>
      <c r="W24" s="32"/>
      <c r="X24" s="89">
        <v>41</v>
      </c>
      <c r="Y24" s="33" t="s">
        <v>131</v>
      </c>
      <c r="Z24" s="33" t="s">
        <v>129</v>
      </c>
      <c r="AA24" s="32"/>
      <c r="AB24" s="89">
        <v>44</v>
      </c>
      <c r="AC24" s="32" t="s">
        <v>133</v>
      </c>
      <c r="AD24" s="116">
        <v>963159.8</v>
      </c>
      <c r="AE24" s="116">
        <v>831499.16</v>
      </c>
      <c r="AF24" s="114">
        <v>963487.37</v>
      </c>
      <c r="AG24" s="114">
        <v>832293.5</v>
      </c>
      <c r="AH24" s="115">
        <v>963089.35</v>
      </c>
      <c r="AI24" s="115">
        <v>821886.57</v>
      </c>
      <c r="AJ24" s="116">
        <v>963085.91</v>
      </c>
      <c r="AK24" s="116">
        <v>821796.63</v>
      </c>
      <c r="AL24" s="119">
        <v>31.910052270000001</v>
      </c>
      <c r="AM24" s="119">
        <v>-103.67495323</v>
      </c>
      <c r="AN24" s="120" t="s">
        <v>151</v>
      </c>
      <c r="AO24" s="120" t="s">
        <v>152</v>
      </c>
      <c r="AP24" s="120" t="s">
        <v>153</v>
      </c>
      <c r="AQ24" s="120" t="s">
        <v>154</v>
      </c>
      <c r="AR24" s="119">
        <v>31.88338714</v>
      </c>
      <c r="AS24" s="119">
        <v>-103.67425237</v>
      </c>
      <c r="AT24" s="101">
        <v>904</v>
      </c>
      <c r="AU24" s="101"/>
      <c r="AV24" s="101"/>
      <c r="AW24" s="102">
        <v>2415</v>
      </c>
      <c r="AX24" s="101">
        <v>100</v>
      </c>
      <c r="AY24" s="101"/>
      <c r="AZ24" s="75"/>
      <c r="BA24" s="101">
        <v>2118</v>
      </c>
      <c r="BB24" s="101"/>
      <c r="BC24" s="101">
        <v>100</v>
      </c>
      <c r="BD24" s="75"/>
      <c r="BE24" s="101">
        <v>2118</v>
      </c>
      <c r="BF24" s="101"/>
      <c r="BG24" s="101">
        <v>10</v>
      </c>
      <c r="BH24" s="75"/>
      <c r="BI24" s="101">
        <v>2118</v>
      </c>
      <c r="BJ24" s="113">
        <f t="shared" si="5"/>
        <v>10414.53848930912</v>
      </c>
    </row>
    <row r="25" spans="1:62" ht="18.75" customHeight="1" x14ac:dyDescent="0.35">
      <c r="A25" s="20">
        <v>5</v>
      </c>
      <c r="B25" s="30" t="s">
        <v>39</v>
      </c>
      <c r="C25" s="31" t="s">
        <v>38</v>
      </c>
      <c r="D25" s="32" t="s">
        <v>105</v>
      </c>
      <c r="E25" s="32" t="s">
        <v>105</v>
      </c>
      <c r="F25" s="32" t="s">
        <v>106</v>
      </c>
      <c r="G25" s="33">
        <v>20767.599999999999</v>
      </c>
      <c r="H25" s="33">
        <v>10010</v>
      </c>
      <c r="I25" s="33">
        <f t="shared" si="3"/>
        <v>10414.568467392284</v>
      </c>
      <c r="J25" s="34">
        <v>11340000</v>
      </c>
      <c r="K25" s="34">
        <f t="shared" si="4"/>
        <v>1088.8593258093424</v>
      </c>
      <c r="L25" s="35">
        <f t="shared" si="0"/>
        <v>0.75</v>
      </c>
      <c r="M25" s="36">
        <v>0.37148475749999998</v>
      </c>
      <c r="N25" s="36">
        <v>0.49531301</v>
      </c>
      <c r="O25" s="34">
        <f t="shared" si="1"/>
        <v>5616849.5334000001</v>
      </c>
      <c r="P25" s="33">
        <v>3035</v>
      </c>
      <c r="Q25" s="33">
        <f t="shared" si="2"/>
        <v>-6975</v>
      </c>
      <c r="R25" s="33">
        <v>928</v>
      </c>
      <c r="S25" s="32" t="s">
        <v>25</v>
      </c>
      <c r="T25" s="32" t="s">
        <v>128</v>
      </c>
      <c r="U25" s="33" t="s">
        <v>130</v>
      </c>
      <c r="V25" s="33" t="s">
        <v>129</v>
      </c>
      <c r="W25" s="32"/>
      <c r="X25" s="89">
        <v>41</v>
      </c>
      <c r="Y25" s="33" t="s">
        <v>131</v>
      </c>
      <c r="Z25" s="33" t="s">
        <v>129</v>
      </c>
      <c r="AA25" s="32"/>
      <c r="AB25" s="89">
        <v>44</v>
      </c>
      <c r="AC25" s="32" t="s">
        <v>133</v>
      </c>
      <c r="AD25" s="116">
        <v>964384.15</v>
      </c>
      <c r="AE25" s="116">
        <v>831616.58</v>
      </c>
      <c r="AF25" s="114">
        <v>964380.97</v>
      </c>
      <c r="AG25" s="114">
        <v>832266.03</v>
      </c>
      <c r="AH25" s="115">
        <v>963982.95</v>
      </c>
      <c r="AI25" s="115">
        <v>821859.07</v>
      </c>
      <c r="AJ25" s="116">
        <v>963979.51</v>
      </c>
      <c r="AK25" s="116">
        <v>821769.13</v>
      </c>
      <c r="AL25" s="119">
        <v>31.910475940000001</v>
      </c>
      <c r="AM25" s="119">
        <v>-103.671021</v>
      </c>
      <c r="AN25" s="120" t="s">
        <v>151</v>
      </c>
      <c r="AO25" s="120" t="s">
        <v>155</v>
      </c>
      <c r="AP25" s="120" t="s">
        <v>153</v>
      </c>
      <c r="AQ25" s="120" t="s">
        <v>156</v>
      </c>
      <c r="AR25" s="119">
        <v>31.8833853</v>
      </c>
      <c r="AS25" s="119">
        <v>-103.67137227000001</v>
      </c>
      <c r="AT25" s="101">
        <v>749</v>
      </c>
      <c r="AU25" s="101"/>
      <c r="AV25" s="101"/>
      <c r="AW25" s="102">
        <v>1196</v>
      </c>
      <c r="AX25" s="101">
        <v>100</v>
      </c>
      <c r="AY25" s="101"/>
      <c r="AZ25" s="75"/>
      <c r="BA25" s="101">
        <v>1224</v>
      </c>
      <c r="BB25" s="101"/>
      <c r="BC25" s="101">
        <v>100</v>
      </c>
      <c r="BD25" s="75"/>
      <c r="BE25" s="101">
        <v>1224</v>
      </c>
      <c r="BF25" s="101"/>
      <c r="BG25" s="101">
        <v>10</v>
      </c>
      <c r="BH25" s="75"/>
      <c r="BI25" s="101">
        <v>1224</v>
      </c>
      <c r="BJ25" s="113">
        <f t="shared" si="5"/>
        <v>10414.568467392284</v>
      </c>
    </row>
    <row r="26" spans="1:62" ht="18.75" customHeight="1" x14ac:dyDescent="0.35">
      <c r="A26" s="20">
        <v>6</v>
      </c>
      <c r="B26" s="30" t="s">
        <v>41</v>
      </c>
      <c r="C26" s="31" t="s">
        <v>40</v>
      </c>
      <c r="D26" s="32" t="s">
        <v>105</v>
      </c>
      <c r="E26" s="32" t="s">
        <v>105</v>
      </c>
      <c r="F26" s="32" t="s">
        <v>106</v>
      </c>
      <c r="G26" s="33">
        <v>20997.599999999999</v>
      </c>
      <c r="H26" s="33">
        <v>10241</v>
      </c>
      <c r="I26" s="33">
        <f t="shared" si="3"/>
        <v>10414.32642701875</v>
      </c>
      <c r="J26" s="34">
        <v>11340000</v>
      </c>
      <c r="K26" s="34">
        <f t="shared" si="4"/>
        <v>1088.8846320948514</v>
      </c>
      <c r="L26" s="35">
        <f t="shared" si="0"/>
        <v>0.75</v>
      </c>
      <c r="M26" s="36">
        <v>0.37148475749999998</v>
      </c>
      <c r="N26" s="36">
        <v>0.49531301</v>
      </c>
      <c r="O26" s="34">
        <f t="shared" si="1"/>
        <v>5616849.5334000001</v>
      </c>
      <c r="P26" s="33">
        <v>3035</v>
      </c>
      <c r="Q26" s="33">
        <f t="shared" si="2"/>
        <v>-7206</v>
      </c>
      <c r="R26" s="33">
        <v>928</v>
      </c>
      <c r="S26" s="32" t="s">
        <v>25</v>
      </c>
      <c r="T26" s="32" t="s">
        <v>128</v>
      </c>
      <c r="U26" s="33" t="s">
        <v>130</v>
      </c>
      <c r="V26" s="33" t="s">
        <v>129</v>
      </c>
      <c r="W26" s="32"/>
      <c r="X26" s="89">
        <v>41</v>
      </c>
      <c r="Y26" s="33" t="s">
        <v>131</v>
      </c>
      <c r="Z26" s="33" t="s">
        <v>129</v>
      </c>
      <c r="AA26" s="32"/>
      <c r="AB26" s="89">
        <v>44</v>
      </c>
      <c r="AC26" s="32" t="s">
        <v>133</v>
      </c>
      <c r="AD26" s="116">
        <v>964414.12</v>
      </c>
      <c r="AE26" s="116">
        <v>831615.71</v>
      </c>
      <c r="AF26" s="114">
        <v>965174.62</v>
      </c>
      <c r="AG26" s="114">
        <v>832241.63</v>
      </c>
      <c r="AH26" s="115">
        <v>964876.55</v>
      </c>
      <c r="AI26" s="115">
        <v>821831.57</v>
      </c>
      <c r="AJ26" s="116">
        <v>964873.11</v>
      </c>
      <c r="AK26" s="116">
        <v>821741.63</v>
      </c>
      <c r="AL26" s="119">
        <v>31.91047601</v>
      </c>
      <c r="AM26" s="119">
        <v>-103.6709244</v>
      </c>
      <c r="AN26" s="120" t="s">
        <v>157</v>
      </c>
      <c r="AO26" s="120" t="s">
        <v>158</v>
      </c>
      <c r="AP26" s="120" t="s">
        <v>159</v>
      </c>
      <c r="AQ26" s="120" t="s">
        <v>160</v>
      </c>
      <c r="AR26" s="119">
        <v>31.88338341</v>
      </c>
      <c r="AS26" s="119">
        <v>-103.66849218</v>
      </c>
      <c r="AT26" s="101">
        <v>749</v>
      </c>
      <c r="AU26" s="101"/>
      <c r="AV26" s="101"/>
      <c r="AW26" s="102">
        <v>1166</v>
      </c>
      <c r="AX26" s="101">
        <v>100</v>
      </c>
      <c r="AY26" s="101"/>
      <c r="AZ26" s="75"/>
      <c r="BA26" s="101">
        <v>430</v>
      </c>
      <c r="BB26" s="101"/>
      <c r="BC26" s="101">
        <v>100</v>
      </c>
      <c r="BD26" s="101"/>
      <c r="BE26" s="101">
        <v>330</v>
      </c>
      <c r="BF26" s="101"/>
      <c r="BG26" s="101">
        <v>10</v>
      </c>
      <c r="BH26" s="75"/>
      <c r="BI26" s="101">
        <v>330</v>
      </c>
      <c r="BJ26" s="113">
        <f t="shared" si="5"/>
        <v>10414.32642701875</v>
      </c>
    </row>
    <row r="27" spans="1:62" ht="18.75" customHeight="1" x14ac:dyDescent="0.35">
      <c r="A27" s="20">
        <v>7</v>
      </c>
      <c r="B27" s="30" t="s">
        <v>43</v>
      </c>
      <c r="C27" s="31" t="s">
        <v>42</v>
      </c>
      <c r="D27" s="32" t="s">
        <v>107</v>
      </c>
      <c r="E27" s="32" t="s">
        <v>108</v>
      </c>
      <c r="F27" s="32" t="s">
        <v>106</v>
      </c>
      <c r="G27" s="33">
        <v>21488.6</v>
      </c>
      <c r="H27" s="33">
        <v>10731</v>
      </c>
      <c r="I27" s="33">
        <f t="shared" si="3"/>
        <v>10414.576129886478</v>
      </c>
      <c r="J27" s="34">
        <v>11777000</v>
      </c>
      <c r="K27" s="34">
        <f t="shared" si="4"/>
        <v>1130.8189457853982</v>
      </c>
      <c r="L27" s="35">
        <f t="shared" si="0"/>
        <v>0.75</v>
      </c>
      <c r="M27" s="36">
        <v>0.37148475749999998</v>
      </c>
      <c r="N27" s="36">
        <v>0.49531301</v>
      </c>
      <c r="O27" s="34">
        <f t="shared" si="1"/>
        <v>5833301.3187699998</v>
      </c>
      <c r="P27" s="33">
        <v>3059</v>
      </c>
      <c r="Q27" s="33">
        <f t="shared" si="2"/>
        <v>-7672</v>
      </c>
      <c r="R27" s="33">
        <v>1754</v>
      </c>
      <c r="S27" s="32" t="s">
        <v>25</v>
      </c>
      <c r="T27" s="32" t="s">
        <v>128</v>
      </c>
      <c r="U27" s="33" t="s">
        <v>130</v>
      </c>
      <c r="V27" s="33" t="s">
        <v>129</v>
      </c>
      <c r="W27" s="32"/>
      <c r="X27" s="89">
        <v>41</v>
      </c>
      <c r="Y27" s="33" t="s">
        <v>131</v>
      </c>
      <c r="Z27" s="33" t="s">
        <v>129</v>
      </c>
      <c r="AA27" s="32"/>
      <c r="AB27" s="89">
        <v>44</v>
      </c>
      <c r="AC27" s="32" t="s">
        <v>133</v>
      </c>
      <c r="AD27" s="116">
        <v>962476.66</v>
      </c>
      <c r="AE27" s="116">
        <v>831612.15</v>
      </c>
      <c r="AF27" s="114">
        <v>962151.75</v>
      </c>
      <c r="AG27" s="114">
        <v>832334.56</v>
      </c>
      <c r="AH27" s="115">
        <v>961743.21</v>
      </c>
      <c r="AI27" s="115">
        <v>821928</v>
      </c>
      <c r="AJ27" s="116">
        <v>961739.68</v>
      </c>
      <c r="AK27" s="116">
        <v>821838.07</v>
      </c>
      <c r="AL27" s="119">
        <v>31.910306309999999</v>
      </c>
      <c r="AM27" s="119">
        <v>-103.67716452000001</v>
      </c>
      <c r="AN27" s="120" t="s">
        <v>145</v>
      </c>
      <c r="AO27" s="120" t="s">
        <v>161</v>
      </c>
      <c r="AP27" s="120" t="s">
        <v>149</v>
      </c>
      <c r="AQ27" s="120" t="s">
        <v>162</v>
      </c>
      <c r="AR27" s="119">
        <v>31.883389780000002</v>
      </c>
      <c r="AS27" s="119">
        <v>-103.67859131</v>
      </c>
      <c r="AT27" s="101">
        <v>812</v>
      </c>
      <c r="AU27" s="101"/>
      <c r="AV27" s="101">
        <v>2208</v>
      </c>
      <c r="AW27" s="102"/>
      <c r="AX27" s="101">
        <v>100</v>
      </c>
      <c r="AY27" s="101"/>
      <c r="AZ27" s="101">
        <v>1855</v>
      </c>
      <c r="BA27" s="102"/>
      <c r="BB27" s="101"/>
      <c r="BC27" s="101">
        <v>100</v>
      </c>
      <c r="BD27" s="101">
        <v>1855</v>
      </c>
      <c r="BE27" s="101"/>
      <c r="BF27" s="101"/>
      <c r="BG27" s="101">
        <v>10</v>
      </c>
      <c r="BH27" s="101">
        <v>1855</v>
      </c>
      <c r="BI27" s="101"/>
      <c r="BJ27" s="113">
        <f t="shared" si="5"/>
        <v>10414.576129886478</v>
      </c>
    </row>
    <row r="28" spans="1:62" ht="18.75" customHeight="1" x14ac:dyDescent="0.35">
      <c r="A28" s="20">
        <v>8</v>
      </c>
      <c r="B28" s="30" t="s">
        <v>46</v>
      </c>
      <c r="C28" s="31" t="s">
        <v>45</v>
      </c>
      <c r="D28" s="32" t="s">
        <v>107</v>
      </c>
      <c r="E28" s="32" t="s">
        <v>108</v>
      </c>
      <c r="F28" s="32" t="s">
        <v>106</v>
      </c>
      <c r="G28" s="33">
        <v>21496.6</v>
      </c>
      <c r="H28" s="33">
        <v>10739</v>
      </c>
      <c r="I28" s="33">
        <f t="shared" si="3"/>
        <v>10414.548482003494</v>
      </c>
      <c r="J28" s="34">
        <v>11777000</v>
      </c>
      <c r="K28" s="34">
        <f t="shared" si="4"/>
        <v>1130.8219478118369</v>
      </c>
      <c r="L28" s="35">
        <f t="shared" si="0"/>
        <v>0.75</v>
      </c>
      <c r="M28" s="36">
        <v>0.37148475749999998</v>
      </c>
      <c r="N28" s="36">
        <v>0.49531301</v>
      </c>
      <c r="O28" s="34">
        <f t="shared" si="1"/>
        <v>5833301.3187699998</v>
      </c>
      <c r="P28" s="33">
        <v>3035</v>
      </c>
      <c r="Q28" s="33">
        <f t="shared" si="2"/>
        <v>-7704</v>
      </c>
      <c r="R28" s="33">
        <v>1754</v>
      </c>
      <c r="S28" s="32" t="s">
        <v>25</v>
      </c>
      <c r="T28" s="32" t="s">
        <v>128</v>
      </c>
      <c r="U28" s="33" t="s">
        <v>130</v>
      </c>
      <c r="V28" s="33" t="s">
        <v>129</v>
      </c>
      <c r="W28" s="32"/>
      <c r="X28" s="89">
        <v>41</v>
      </c>
      <c r="Y28" s="33" t="s">
        <v>131</v>
      </c>
      <c r="Z28" s="33" t="s">
        <v>129</v>
      </c>
      <c r="AA28" s="32"/>
      <c r="AB28" s="89">
        <v>44</v>
      </c>
      <c r="AC28" s="32" t="s">
        <v>133</v>
      </c>
      <c r="AD28" s="116">
        <v>964354.17</v>
      </c>
      <c r="AE28" s="116">
        <v>831617.56</v>
      </c>
      <c r="AF28" s="114">
        <v>963934.17</v>
      </c>
      <c r="AG28" s="114">
        <v>832279.76</v>
      </c>
      <c r="AH28" s="115">
        <v>963536.15</v>
      </c>
      <c r="AI28" s="115">
        <v>821872.82</v>
      </c>
      <c r="AJ28" s="116">
        <v>963532.71</v>
      </c>
      <c r="AK28" s="116">
        <v>821782.88</v>
      </c>
      <c r="AL28" s="119">
        <v>31.910476150000001</v>
      </c>
      <c r="AM28" s="119">
        <v>-103.67111765999999</v>
      </c>
      <c r="AN28" s="120" t="s">
        <v>151</v>
      </c>
      <c r="AO28" s="120" t="s">
        <v>163</v>
      </c>
      <c r="AP28" s="120" t="s">
        <v>153</v>
      </c>
      <c r="AQ28" s="120" t="s">
        <v>164</v>
      </c>
      <c r="AR28" s="119">
        <v>31.883386229999999</v>
      </c>
      <c r="AS28" s="119">
        <v>-103.67281232000001</v>
      </c>
      <c r="AT28" s="101">
        <v>749</v>
      </c>
      <c r="AU28" s="101"/>
      <c r="AV28" s="101"/>
      <c r="AW28" s="102">
        <v>1226</v>
      </c>
      <c r="AX28" s="101">
        <v>100</v>
      </c>
      <c r="AY28" s="101"/>
      <c r="AZ28" s="101"/>
      <c r="BA28" s="102">
        <v>1671</v>
      </c>
      <c r="BB28" s="101"/>
      <c r="BC28" s="101">
        <v>100</v>
      </c>
      <c r="BD28" s="101"/>
      <c r="BE28" s="101">
        <v>1671</v>
      </c>
      <c r="BF28" s="101"/>
      <c r="BG28" s="101">
        <v>10</v>
      </c>
      <c r="BH28" s="101"/>
      <c r="BI28" s="101">
        <v>1671</v>
      </c>
      <c r="BJ28" s="113">
        <f t="shared" si="5"/>
        <v>10414.548482003494</v>
      </c>
    </row>
    <row r="29" spans="1:62" ht="18.75" customHeight="1" x14ac:dyDescent="0.35">
      <c r="A29" s="20"/>
      <c r="B29" s="32"/>
      <c r="C29" s="37"/>
      <c r="D29" s="32"/>
      <c r="E29" s="33"/>
      <c r="F29" s="32"/>
      <c r="G29" s="33"/>
      <c r="H29" s="33"/>
      <c r="I29" s="33"/>
      <c r="J29" s="38">
        <f>SUM(J21:J28)</f>
        <v>91594000</v>
      </c>
      <c r="K29" s="38"/>
      <c r="L29" s="39"/>
      <c r="M29" s="39"/>
      <c r="N29" s="39"/>
      <c r="O29" s="38">
        <f>SUM(O21:O28)</f>
        <v>45367699.83794</v>
      </c>
      <c r="P29" s="33"/>
      <c r="Q29" s="33"/>
      <c r="R29" s="33"/>
      <c r="S29" s="33"/>
      <c r="T29" s="33"/>
      <c r="U29" s="33"/>
      <c r="V29" s="33"/>
      <c r="W29" s="33"/>
      <c r="X29" s="89"/>
      <c r="Y29" s="33"/>
      <c r="Z29" s="33"/>
      <c r="AA29" s="33"/>
      <c r="AB29" s="33"/>
      <c r="AC29" s="33"/>
      <c r="AD29" s="90"/>
      <c r="AE29" s="82"/>
      <c r="AF29" s="82"/>
      <c r="AG29" s="82"/>
      <c r="AH29" s="33"/>
      <c r="AI29" s="33"/>
      <c r="AJ29" s="33"/>
      <c r="AK29" s="33"/>
      <c r="AL29" s="90"/>
      <c r="AM29" s="82"/>
      <c r="AN29" s="82"/>
      <c r="AO29" s="82"/>
      <c r="AP29" s="33"/>
      <c r="AQ29" s="33"/>
      <c r="AR29" s="33"/>
      <c r="AS29" s="89"/>
      <c r="AT29" s="103"/>
      <c r="AU29" s="103"/>
      <c r="AV29" s="103"/>
      <c r="AW29" s="104"/>
      <c r="AX29" s="103"/>
      <c r="AY29" s="103"/>
      <c r="AZ29" s="103"/>
      <c r="BA29" s="104"/>
      <c r="BB29" s="103"/>
      <c r="BC29" s="103"/>
      <c r="BD29" s="103"/>
      <c r="BE29" s="103"/>
      <c r="BF29" s="103"/>
      <c r="BG29" s="103"/>
      <c r="BH29" s="103"/>
      <c r="BI29" s="103"/>
      <c r="BJ29" s="111"/>
    </row>
    <row r="30" spans="1:62" ht="18.75" customHeight="1" x14ac:dyDescent="0.35">
      <c r="A30" s="40"/>
      <c r="B30" s="41"/>
      <c r="C30" s="42"/>
      <c r="D30" s="41"/>
      <c r="E30" s="41"/>
      <c r="F30" s="41"/>
      <c r="G30" s="43"/>
      <c r="H30" s="44"/>
      <c r="I30" s="45" t="s">
        <v>109</v>
      </c>
      <c r="J30" s="46"/>
      <c r="K30" s="47"/>
      <c r="L30" s="47"/>
      <c r="M30" s="47"/>
      <c r="N30" s="46"/>
      <c r="O30" s="48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</row>
  </sheetData>
  <mergeCells count="4">
    <mergeCell ref="C5:G5"/>
    <mergeCell ref="C6:D6"/>
    <mergeCell ref="C7:D7"/>
    <mergeCell ref="C14:G14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R10"/>
  <sheetViews>
    <sheetView topLeftCell="M1" workbookViewId="0">
      <selection activeCell="AB2" sqref="AB2"/>
    </sheetView>
  </sheetViews>
  <sheetFormatPr defaultRowHeight="14.5" x14ac:dyDescent="0.35"/>
  <cols>
    <col min="1" max="1" width="19.26953125" style="51" bestFit="1" customWidth="1"/>
    <col min="2" max="2" width="37.81640625" style="50" bestFit="1" customWidth="1"/>
    <col min="3" max="5" width="13.54296875" style="51" bestFit="1" customWidth="1"/>
    <col min="6" max="6" width="19.1796875" style="51" bestFit="1" customWidth="1"/>
    <col min="7" max="7" width="13.1796875" style="51" bestFit="1" customWidth="1"/>
    <col min="8" max="8" width="13.54296875" style="51" bestFit="1" customWidth="1"/>
    <col min="9" max="10" width="13.54296875" style="52" bestFit="1" customWidth="1"/>
    <col min="11" max="16" width="13.54296875" style="52" customWidth="1"/>
    <col min="17" max="18" width="13.54296875" style="52" bestFit="1" customWidth="1"/>
    <col min="19" max="19" width="13.54296875" style="54" bestFit="1" customWidth="1"/>
    <col min="20" max="20" width="13.54296875" style="51" bestFit="1" customWidth="1"/>
    <col min="21" max="22" width="13.54296875" style="54" bestFit="1" customWidth="1"/>
    <col min="23" max="23" width="13.54296875" style="51" bestFit="1" customWidth="1"/>
    <col min="24" max="24" width="13.54296875" style="54" bestFit="1" customWidth="1"/>
    <col min="25" max="28" width="13.54296875" style="54" customWidth="1"/>
    <col min="29" max="29" width="13.54296875" style="54" bestFit="1" customWidth="1"/>
    <col min="30" max="31" width="13.54296875" style="51" bestFit="1" customWidth="1"/>
    <col min="32" max="33" width="13.54296875" style="54" bestFit="1" customWidth="1"/>
    <col min="34" max="34" width="13.54296875" style="51" bestFit="1" customWidth="1"/>
    <col min="35" max="35" width="13.54296875" style="54" bestFit="1" customWidth="1"/>
    <col min="36" max="39" width="13.54296875" style="54" customWidth="1"/>
    <col min="40" max="40" width="13.54296875" style="54" bestFit="1" customWidth="1"/>
    <col min="41" max="41" width="13.54296875" style="51" bestFit="1" customWidth="1"/>
    <col min="42" max="42" width="17" style="54" bestFit="1" customWidth="1"/>
    <col min="43" max="43" width="13.54296875" style="51" bestFit="1" customWidth="1"/>
    <col min="44" max="44" width="15" style="54" bestFit="1" customWidth="1"/>
  </cols>
  <sheetData>
    <row r="1" spans="1:44" x14ac:dyDescent="0.35">
      <c r="T1" s="51" t="s">
        <v>116</v>
      </c>
      <c r="U1" s="54" t="s">
        <v>116</v>
      </c>
      <c r="V1" s="54" t="s">
        <v>116</v>
      </c>
      <c r="W1" s="51" t="s">
        <v>116</v>
      </c>
      <c r="X1" s="54" t="s">
        <v>116</v>
      </c>
      <c r="Y1" s="54" t="s">
        <v>116</v>
      </c>
      <c r="Z1" s="54" t="s">
        <v>116</v>
      </c>
      <c r="AA1" s="54" t="s">
        <v>116</v>
      </c>
      <c r="AB1" s="54" t="s">
        <v>116</v>
      </c>
      <c r="AC1" s="54" t="s">
        <v>116</v>
      </c>
      <c r="AD1" s="51" t="s">
        <v>116</v>
      </c>
      <c r="AE1" s="54" t="s">
        <v>91</v>
      </c>
      <c r="AF1" s="54" t="s">
        <v>91</v>
      </c>
      <c r="AG1" s="54" t="s">
        <v>91</v>
      </c>
      <c r="AH1" s="54" t="s">
        <v>91</v>
      </c>
      <c r="AI1" s="54" t="s">
        <v>91</v>
      </c>
      <c r="AJ1" s="54" t="s">
        <v>91</v>
      </c>
      <c r="AK1" s="54" t="s">
        <v>91</v>
      </c>
      <c r="AL1" s="54" t="s">
        <v>91</v>
      </c>
      <c r="AM1" s="54" t="s">
        <v>91</v>
      </c>
      <c r="AN1" s="51" t="s">
        <v>91</v>
      </c>
      <c r="AO1" s="51" t="s">
        <v>91</v>
      </c>
    </row>
    <row r="2" spans="1:44" s="60" customFormat="1" ht="58" customHeight="1" x14ac:dyDescent="0.35">
      <c r="A2" s="56" t="s">
        <v>0</v>
      </c>
      <c r="B2" s="57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I2" s="58" t="s">
        <v>8</v>
      </c>
      <c r="J2" s="58" t="s">
        <v>9</v>
      </c>
      <c r="K2" s="58" t="s">
        <v>110</v>
      </c>
      <c r="L2" s="58" t="s">
        <v>111</v>
      </c>
      <c r="M2" s="58" t="s">
        <v>112</v>
      </c>
      <c r="N2" s="58" t="s">
        <v>113</v>
      </c>
      <c r="O2" s="58" t="s">
        <v>114</v>
      </c>
      <c r="P2" s="58" t="s">
        <v>115</v>
      </c>
      <c r="Q2" s="58" t="s">
        <v>10</v>
      </c>
      <c r="R2" s="58" t="s">
        <v>11</v>
      </c>
      <c r="S2" s="59" t="s">
        <v>12</v>
      </c>
      <c r="T2" s="56" t="s">
        <v>13</v>
      </c>
      <c r="U2" s="59" t="s">
        <v>14</v>
      </c>
      <c r="V2" s="59" t="s">
        <v>15</v>
      </c>
      <c r="W2" s="56" t="s">
        <v>16</v>
      </c>
      <c r="X2" s="59" t="s">
        <v>17</v>
      </c>
      <c r="Y2" s="59" t="s">
        <v>117</v>
      </c>
      <c r="Z2" s="59" t="s">
        <v>118</v>
      </c>
      <c r="AA2" s="59" t="s">
        <v>119</v>
      </c>
      <c r="AB2" s="59" t="s">
        <v>120</v>
      </c>
      <c r="AC2" s="59" t="s">
        <v>18</v>
      </c>
      <c r="AD2" s="56" t="s">
        <v>19</v>
      </c>
      <c r="AE2" s="56" t="s">
        <v>13</v>
      </c>
      <c r="AF2" s="59" t="s">
        <v>14</v>
      </c>
      <c r="AG2" s="59" t="s">
        <v>15</v>
      </c>
      <c r="AH2" s="56" t="s">
        <v>16</v>
      </c>
      <c r="AI2" s="59" t="s">
        <v>17</v>
      </c>
      <c r="AJ2" s="59" t="s">
        <v>117</v>
      </c>
      <c r="AK2" s="59" t="s">
        <v>118</v>
      </c>
      <c r="AL2" s="59" t="s">
        <v>119</v>
      </c>
      <c r="AM2" s="59" t="s">
        <v>120</v>
      </c>
      <c r="AN2" s="59" t="s">
        <v>18</v>
      </c>
      <c r="AO2" s="56" t="s">
        <v>19</v>
      </c>
      <c r="AP2" s="59" t="s">
        <v>20</v>
      </c>
      <c r="AQ2" s="56" t="s">
        <v>21</v>
      </c>
      <c r="AR2" s="59" t="s">
        <v>22</v>
      </c>
    </row>
    <row r="3" spans="1:44" ht="18.75" customHeight="1" x14ac:dyDescent="0.35">
      <c r="A3" s="51" t="s">
        <v>23</v>
      </c>
      <c r="B3" s="49" t="s">
        <v>24</v>
      </c>
      <c r="C3" s="51" t="s">
        <v>25</v>
      </c>
      <c r="D3" s="51" t="s">
        <v>26</v>
      </c>
      <c r="E3" s="51" t="s">
        <v>27</v>
      </c>
      <c r="F3" s="51" t="s">
        <v>29</v>
      </c>
      <c r="G3" s="51" t="s">
        <v>30</v>
      </c>
      <c r="I3" s="53">
        <v>31.910433000000001</v>
      </c>
      <c r="J3" s="53">
        <v>-103.677824</v>
      </c>
      <c r="K3" s="53"/>
      <c r="L3" s="53"/>
      <c r="M3" s="53"/>
      <c r="N3" s="53"/>
      <c r="O3" s="53"/>
      <c r="P3" s="53"/>
      <c r="Q3" s="53">
        <v>31.883519</v>
      </c>
      <c r="R3" s="53">
        <v>-103.683055</v>
      </c>
      <c r="S3" s="55">
        <v>12000</v>
      </c>
      <c r="T3" s="51" t="s">
        <v>31</v>
      </c>
      <c r="U3" s="55">
        <v>54</v>
      </c>
      <c r="V3" s="55">
        <v>64</v>
      </c>
      <c r="X3" s="55">
        <v>41</v>
      </c>
      <c r="Y3" s="55"/>
      <c r="Z3" s="55"/>
      <c r="AA3" s="55"/>
      <c r="AB3" s="55"/>
      <c r="AC3" s="55">
        <v>1</v>
      </c>
      <c r="AE3" s="51" t="s">
        <v>31</v>
      </c>
      <c r="AF3" s="55">
        <v>54</v>
      </c>
      <c r="AG3" s="55">
        <v>64</v>
      </c>
      <c r="AI3" s="55">
        <v>41</v>
      </c>
      <c r="AJ3" s="55"/>
      <c r="AK3" s="55"/>
      <c r="AL3" s="55"/>
      <c r="AM3" s="55"/>
      <c r="AN3" s="55">
        <v>1</v>
      </c>
      <c r="AP3" s="55">
        <v>3058</v>
      </c>
      <c r="AR3" s="55">
        <v>9702</v>
      </c>
    </row>
    <row r="4" spans="1:44" ht="18.75" customHeight="1" x14ac:dyDescent="0.35">
      <c r="A4" s="51" t="s">
        <v>32</v>
      </c>
      <c r="B4" s="49" t="s">
        <v>33</v>
      </c>
      <c r="C4" s="51" t="s">
        <v>25</v>
      </c>
      <c r="D4" s="51" t="s">
        <v>26</v>
      </c>
      <c r="E4" s="51" t="s">
        <v>27</v>
      </c>
      <c r="F4" s="51" t="s">
        <v>29</v>
      </c>
      <c r="G4" s="51" t="s">
        <v>30</v>
      </c>
      <c r="I4" s="53">
        <v>31.910432</v>
      </c>
      <c r="J4" s="53">
        <v>-103.677727</v>
      </c>
      <c r="K4" s="53"/>
      <c r="L4" s="53"/>
      <c r="M4" s="53"/>
      <c r="N4" s="53"/>
      <c r="O4" s="53"/>
      <c r="P4" s="53"/>
      <c r="Q4" s="53">
        <v>31.883548999999999</v>
      </c>
      <c r="R4" s="53">
        <v>-103.68052900000001</v>
      </c>
      <c r="S4" s="55">
        <v>12000</v>
      </c>
      <c r="T4" s="51" t="s">
        <v>31</v>
      </c>
      <c r="U4" s="55">
        <v>54</v>
      </c>
      <c r="V4" s="55">
        <v>64</v>
      </c>
      <c r="X4" s="55">
        <v>41</v>
      </c>
      <c r="Y4" s="55"/>
      <c r="Z4" s="55"/>
      <c r="AA4" s="55"/>
      <c r="AB4" s="55"/>
      <c r="AC4" s="55">
        <v>1</v>
      </c>
      <c r="AE4" s="51" t="s">
        <v>31</v>
      </c>
      <c r="AF4" s="55">
        <v>54</v>
      </c>
      <c r="AG4" s="55">
        <v>64</v>
      </c>
      <c r="AI4" s="55">
        <v>41</v>
      </c>
      <c r="AJ4" s="55"/>
      <c r="AK4" s="55"/>
      <c r="AL4" s="55"/>
      <c r="AM4" s="55"/>
      <c r="AN4" s="55">
        <v>1</v>
      </c>
      <c r="AP4" s="55">
        <v>3058</v>
      </c>
      <c r="AR4" s="55">
        <v>9596</v>
      </c>
    </row>
    <row r="5" spans="1:44" ht="18.75" customHeight="1" x14ac:dyDescent="0.35">
      <c r="A5" s="51" t="s">
        <v>34</v>
      </c>
      <c r="B5" s="49" t="s">
        <v>35</v>
      </c>
      <c r="C5" s="51" t="s">
        <v>25</v>
      </c>
      <c r="D5" s="51" t="s">
        <v>26</v>
      </c>
      <c r="E5" s="51" t="s">
        <v>27</v>
      </c>
      <c r="F5" s="51" t="s">
        <v>29</v>
      </c>
      <c r="G5" s="51" t="s">
        <v>30</v>
      </c>
      <c r="I5" s="53">
        <v>31.910178999999999</v>
      </c>
      <c r="J5" s="53">
        <v>-103.675516</v>
      </c>
      <c r="K5" s="53"/>
      <c r="L5" s="53"/>
      <c r="M5" s="53"/>
      <c r="N5" s="53"/>
      <c r="O5" s="53"/>
      <c r="P5" s="53"/>
      <c r="Q5" s="53">
        <v>31.883565000000001</v>
      </c>
      <c r="R5" s="53">
        <v>-103.677643</v>
      </c>
      <c r="S5" s="55">
        <v>12000</v>
      </c>
      <c r="T5" s="51" t="s">
        <v>31</v>
      </c>
      <c r="U5" s="55">
        <v>54</v>
      </c>
      <c r="V5" s="55">
        <v>64</v>
      </c>
      <c r="X5" s="55">
        <v>41</v>
      </c>
      <c r="Y5" s="55"/>
      <c r="Z5" s="55"/>
      <c r="AA5" s="55"/>
      <c r="AB5" s="55"/>
      <c r="AC5" s="55">
        <v>1</v>
      </c>
      <c r="AE5" s="51" t="s">
        <v>31</v>
      </c>
      <c r="AF5" s="55">
        <v>54</v>
      </c>
      <c r="AG5" s="55">
        <v>64</v>
      </c>
      <c r="AI5" s="55">
        <v>41</v>
      </c>
      <c r="AJ5" s="55"/>
      <c r="AK5" s="55"/>
      <c r="AL5" s="55"/>
      <c r="AM5" s="55"/>
      <c r="AN5" s="55">
        <v>1</v>
      </c>
      <c r="AP5" s="55">
        <v>3057</v>
      </c>
      <c r="AR5" s="55">
        <v>9481</v>
      </c>
    </row>
    <row r="6" spans="1:44" ht="18.75" customHeight="1" x14ac:dyDescent="0.35">
      <c r="A6" s="51" t="s">
        <v>36</v>
      </c>
      <c r="B6" s="49" t="s">
        <v>37</v>
      </c>
      <c r="C6" s="51" t="s">
        <v>25</v>
      </c>
      <c r="D6" s="51" t="s">
        <v>26</v>
      </c>
      <c r="E6" s="51" t="s">
        <v>27</v>
      </c>
      <c r="F6" s="51" t="s">
        <v>29</v>
      </c>
      <c r="G6" s="51" t="s">
        <v>30</v>
      </c>
      <c r="I6" s="53">
        <v>31.910178999999999</v>
      </c>
      <c r="J6" s="53">
        <v>-103.67541900000001</v>
      </c>
      <c r="K6" s="53"/>
      <c r="L6" s="53"/>
      <c r="M6" s="53"/>
      <c r="N6" s="53"/>
      <c r="O6" s="53"/>
      <c r="P6" s="53"/>
      <c r="Q6" s="53">
        <v>31.883565999999998</v>
      </c>
      <c r="R6" s="53">
        <v>-103.674768</v>
      </c>
      <c r="S6" s="55">
        <v>12000</v>
      </c>
      <c r="T6" s="51" t="s">
        <v>31</v>
      </c>
      <c r="U6" s="55">
        <v>54</v>
      </c>
      <c r="V6" s="55">
        <v>64</v>
      </c>
      <c r="X6" s="55">
        <v>41</v>
      </c>
      <c r="Y6" s="55"/>
      <c r="Z6" s="55"/>
      <c r="AA6" s="55"/>
      <c r="AB6" s="55"/>
      <c r="AC6" s="55">
        <v>1</v>
      </c>
      <c r="AE6" s="51" t="s">
        <v>31</v>
      </c>
      <c r="AF6" s="55">
        <v>54</v>
      </c>
      <c r="AG6" s="55">
        <v>64</v>
      </c>
      <c r="AI6" s="55">
        <v>41</v>
      </c>
      <c r="AJ6" s="55"/>
      <c r="AK6" s="55"/>
      <c r="AL6" s="55"/>
      <c r="AM6" s="55"/>
      <c r="AN6" s="55">
        <v>1</v>
      </c>
      <c r="AP6" s="55">
        <v>3056</v>
      </c>
      <c r="AR6" s="55">
        <v>9461</v>
      </c>
    </row>
    <row r="7" spans="1:44" ht="18.75" customHeight="1" x14ac:dyDescent="0.35">
      <c r="A7" s="51" t="s">
        <v>38</v>
      </c>
      <c r="B7" s="49" t="s">
        <v>39</v>
      </c>
      <c r="C7" s="51" t="s">
        <v>25</v>
      </c>
      <c r="D7" s="51" t="s">
        <v>26</v>
      </c>
      <c r="E7" s="51" t="s">
        <v>27</v>
      </c>
      <c r="F7" s="51" t="s">
        <v>29</v>
      </c>
      <c r="G7" s="51" t="s">
        <v>30</v>
      </c>
      <c r="I7" s="53">
        <v>31.910602000000001</v>
      </c>
      <c r="J7" s="53">
        <v>-103.671487</v>
      </c>
      <c r="K7" s="53"/>
      <c r="L7" s="53"/>
      <c r="M7" s="53"/>
      <c r="N7" s="53"/>
      <c r="O7" s="53"/>
      <c r="P7" s="53"/>
      <c r="Q7" s="53">
        <v>31.883512</v>
      </c>
      <c r="R7" s="53">
        <v>-103.671837</v>
      </c>
      <c r="S7" s="55">
        <v>12000</v>
      </c>
      <c r="T7" s="51" t="s">
        <v>31</v>
      </c>
      <c r="U7" s="55">
        <v>54</v>
      </c>
      <c r="V7" s="55">
        <v>64</v>
      </c>
      <c r="X7" s="55">
        <v>41</v>
      </c>
      <c r="Y7" s="55"/>
      <c r="Z7" s="55"/>
      <c r="AA7" s="55"/>
      <c r="AB7" s="55"/>
      <c r="AC7" s="55">
        <v>1</v>
      </c>
      <c r="AE7" s="51" t="s">
        <v>31</v>
      </c>
      <c r="AF7" s="55">
        <v>54</v>
      </c>
      <c r="AG7" s="55">
        <v>64</v>
      </c>
      <c r="AI7" s="55">
        <v>41</v>
      </c>
      <c r="AJ7" s="55"/>
      <c r="AK7" s="55"/>
      <c r="AL7" s="55"/>
      <c r="AM7" s="55"/>
      <c r="AN7" s="55">
        <v>1</v>
      </c>
      <c r="AP7" s="55">
        <v>3035</v>
      </c>
      <c r="AR7" s="55">
        <v>9634</v>
      </c>
    </row>
    <row r="8" spans="1:44" ht="18.75" customHeight="1" x14ac:dyDescent="0.35">
      <c r="A8" s="51" t="s">
        <v>40</v>
      </c>
      <c r="B8" s="49" t="s">
        <v>41</v>
      </c>
      <c r="C8" s="51" t="s">
        <v>25</v>
      </c>
      <c r="D8" s="51" t="s">
        <v>26</v>
      </c>
      <c r="E8" s="51" t="s">
        <v>27</v>
      </c>
      <c r="F8" s="51" t="s">
        <v>29</v>
      </c>
      <c r="G8" s="51" t="s">
        <v>30</v>
      </c>
      <c r="I8" s="53">
        <v>31.910602000000001</v>
      </c>
      <c r="J8" s="53">
        <v>-103.67139</v>
      </c>
      <c r="K8" s="53"/>
      <c r="L8" s="53"/>
      <c r="M8" s="53"/>
      <c r="N8" s="53"/>
      <c r="O8" s="53"/>
      <c r="P8" s="53"/>
      <c r="Q8" s="53">
        <v>31.883510000000001</v>
      </c>
      <c r="R8" s="53">
        <v>-103.66895700000001</v>
      </c>
      <c r="S8" s="55">
        <v>12000</v>
      </c>
      <c r="T8" s="51" t="s">
        <v>31</v>
      </c>
      <c r="U8" s="55">
        <v>54</v>
      </c>
      <c r="V8" s="55">
        <v>64</v>
      </c>
      <c r="X8" s="55">
        <v>41</v>
      </c>
      <c r="Y8" s="55"/>
      <c r="Z8" s="55"/>
      <c r="AA8" s="55"/>
      <c r="AB8" s="55"/>
      <c r="AC8" s="55">
        <v>1</v>
      </c>
      <c r="AE8" s="51" t="s">
        <v>31</v>
      </c>
      <c r="AF8" s="55">
        <v>54</v>
      </c>
      <c r="AG8" s="55">
        <v>64</v>
      </c>
      <c r="AI8" s="55">
        <v>41</v>
      </c>
      <c r="AJ8" s="55"/>
      <c r="AK8" s="55"/>
      <c r="AL8" s="55"/>
      <c r="AM8" s="55"/>
      <c r="AN8" s="55">
        <v>1</v>
      </c>
      <c r="AP8" s="55">
        <v>3035</v>
      </c>
      <c r="AR8" s="55">
        <v>9662</v>
      </c>
    </row>
    <row r="9" spans="1:44" ht="18.75" customHeight="1" x14ac:dyDescent="0.35">
      <c r="A9" s="51" t="s">
        <v>42</v>
      </c>
      <c r="B9" s="49" t="s">
        <v>43</v>
      </c>
      <c r="C9" s="51" t="s">
        <v>25</v>
      </c>
      <c r="D9" s="51" t="s">
        <v>26</v>
      </c>
      <c r="E9" s="51" t="s">
        <v>27</v>
      </c>
      <c r="F9" s="51" t="s">
        <v>44</v>
      </c>
      <c r="G9" s="51" t="s">
        <v>30</v>
      </c>
      <c r="I9" s="53">
        <v>31.910432</v>
      </c>
      <c r="J9" s="53">
        <v>-103.67763100000001</v>
      </c>
      <c r="K9" s="53"/>
      <c r="L9" s="53"/>
      <c r="M9" s="53"/>
      <c r="N9" s="53"/>
      <c r="O9" s="53"/>
      <c r="P9" s="53"/>
      <c r="Q9" s="53">
        <v>31.883557</v>
      </c>
      <c r="R9" s="53">
        <v>-103.679086</v>
      </c>
      <c r="S9" s="55">
        <v>11895</v>
      </c>
      <c r="T9" s="51" t="s">
        <v>31</v>
      </c>
      <c r="U9" s="55">
        <v>54</v>
      </c>
      <c r="V9" s="55">
        <v>64</v>
      </c>
      <c r="X9" s="55">
        <v>41</v>
      </c>
      <c r="Y9" s="55"/>
      <c r="Z9" s="55"/>
      <c r="AA9" s="55"/>
      <c r="AB9" s="55"/>
      <c r="AC9" s="55">
        <v>1</v>
      </c>
      <c r="AE9" s="51" t="s">
        <v>31</v>
      </c>
      <c r="AF9" s="55">
        <v>54</v>
      </c>
      <c r="AG9" s="55">
        <v>64</v>
      </c>
      <c r="AI9" s="55">
        <v>41</v>
      </c>
      <c r="AJ9" s="55"/>
      <c r="AK9" s="55"/>
      <c r="AL9" s="55"/>
      <c r="AM9" s="55"/>
      <c r="AN9" s="55">
        <v>1</v>
      </c>
      <c r="AP9" s="55">
        <v>3059</v>
      </c>
      <c r="AR9" s="55">
        <v>9565</v>
      </c>
    </row>
    <row r="10" spans="1:44" ht="18.75" customHeight="1" x14ac:dyDescent="0.35">
      <c r="A10" s="51" t="s">
        <v>45</v>
      </c>
      <c r="B10" s="49" t="s">
        <v>46</v>
      </c>
      <c r="C10" s="51" t="s">
        <v>25</v>
      </c>
      <c r="D10" s="51" t="s">
        <v>26</v>
      </c>
      <c r="E10" s="51" t="s">
        <v>27</v>
      </c>
      <c r="F10" s="51" t="s">
        <v>44</v>
      </c>
      <c r="G10" s="51" t="s">
        <v>30</v>
      </c>
      <c r="I10" s="53">
        <v>31.910602000000001</v>
      </c>
      <c r="J10" s="53">
        <v>-103.671584</v>
      </c>
      <c r="K10" s="53"/>
      <c r="L10" s="53"/>
      <c r="M10" s="53"/>
      <c r="N10" s="53"/>
      <c r="O10" s="53"/>
      <c r="P10" s="53"/>
      <c r="Q10" s="53">
        <v>31.883548000000001</v>
      </c>
      <c r="R10" s="53">
        <v>-103.67332500000001</v>
      </c>
      <c r="S10" s="55">
        <v>11895</v>
      </c>
      <c r="T10" s="51" t="s">
        <v>31</v>
      </c>
      <c r="U10" s="55">
        <v>54</v>
      </c>
      <c r="V10" s="55">
        <v>64</v>
      </c>
      <c r="X10" s="55">
        <v>41</v>
      </c>
      <c r="Y10" s="55"/>
      <c r="Z10" s="55"/>
      <c r="AA10" s="55"/>
      <c r="AB10" s="55"/>
      <c r="AC10" s="55">
        <v>1</v>
      </c>
      <c r="AE10" s="51" t="s">
        <v>31</v>
      </c>
      <c r="AF10" s="55">
        <v>54</v>
      </c>
      <c r="AG10" s="55">
        <v>64</v>
      </c>
      <c r="AI10" s="55">
        <v>41</v>
      </c>
      <c r="AJ10" s="55"/>
      <c r="AK10" s="55"/>
      <c r="AL10" s="55"/>
      <c r="AM10" s="55"/>
      <c r="AN10" s="55">
        <v>1</v>
      </c>
      <c r="AP10" s="55">
        <v>3035</v>
      </c>
      <c r="AR10" s="55">
        <v>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Well Summary (2)</vt:lpstr>
      <vt:lpstr>Well Summary (3)</vt:lpstr>
      <vt:lpstr>Well Summary</vt:lpstr>
      <vt:lpstr>env_csv-Wells-3a723_2024-06-27</vt:lpstr>
      <vt:lpstr>'env_csv-Wells-3a723_2024-06-27'!_FilterDatabase</vt:lpstr>
      <vt:lpstr>'Well Summary'!_FilterDatabase</vt:lpstr>
      <vt:lpstr>'Well Summary (2)'!_FilterDatabase</vt:lpstr>
      <vt:lpstr>'Well Summary (3)'!_FilterDatabase</vt:lpstr>
      <vt:lpstr>'Well Summary'!Print_Area</vt:lpstr>
      <vt:lpstr>'Well Summary (2)'!Print_Area</vt:lpstr>
      <vt:lpstr>'Well Summary (3)'!Print_Area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Pierce</dc:creator>
  <cp:lastModifiedBy>Steve Thomas</cp:lastModifiedBy>
  <dcterms:created xsi:type="dcterms:W3CDTF">2024-07-12T13:21:32Z</dcterms:created>
  <dcterms:modified xsi:type="dcterms:W3CDTF">2025-02-17T20:32:39Z</dcterms:modified>
</cp:coreProperties>
</file>